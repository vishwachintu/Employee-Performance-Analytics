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hidePivotFieldList="1"/>
  <mc:AlternateContent xmlns:mc="http://schemas.openxmlformats.org/markup-compatibility/2006">
    <mc:Choice Requires="x15">
      <x15ac:absPath xmlns:x15ac="http://schemas.microsoft.com/office/spreadsheetml/2010/11/ac" url="/Users/ramadevi/Downloads/myprojects-master/adda/"/>
    </mc:Choice>
  </mc:AlternateContent>
  <xr:revisionPtr revIDLastSave="0" documentId="13_ncr:1_{F826632E-639B-6443-9A0C-470AA8DD56F8}" xr6:coauthVersionLast="45" xr6:coauthVersionMax="45" xr10:uidLastSave="{00000000-0000-0000-0000-000000000000}"/>
  <bookViews>
    <workbookView xWindow="0" yWindow="460" windowWidth="29240" windowHeight="18160" tabRatio="873" activeTab="1" xr2:uid="{F43D981E-F69A-4BE2-A04B-822560F8F0E6}"/>
  </bookViews>
  <sheets>
    <sheet name="INSTRUCTIONS" sheetId="8" r:id="rId1"/>
    <sheet name="Database" sheetId="1" r:id="rId2"/>
    <sheet name="Sheet5" sheetId="6" state="hidden" r:id="rId3"/>
    <sheet name="People Database" sheetId="5" r:id="rId4"/>
    <sheet name="Monthly Dashboard" sheetId="3" r:id="rId5"/>
    <sheet name="Department Comparison" sheetId="7" r:id="rId6"/>
    <sheet name="Background Data" sheetId="4" state="hidden" r:id="rId7"/>
    <sheet name="Details" sheetId="2" state="hidden" r:id="rId8"/>
  </sheets>
  <definedNames>
    <definedName name="Austin">Database!$J$5:$J$1004</definedName>
    <definedName name="dept">Details!$B$18:$B$30</definedName>
    <definedName name="exitreason">Details!$D$18:$D$25</definedName>
    <definedName name="roles">Details!$F$18:$F$42</definedName>
    <definedName name="Slicer_Contract_Type">#N/A</definedName>
    <definedName name="Slicer_Department">#N/A</definedName>
    <definedName name="Slicer_Gender">#N/A</definedName>
    <definedName name="Slicer_Hire_Source">#N/A</definedName>
    <definedName name="Slicer_Location">#N/A</definedName>
    <definedName name="Slicer_Role">#N/A</definedName>
  </definedNames>
  <calcPr calcId="191029"/>
  <pivotCaches>
    <pivotCache cacheId="45"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 i="7" l="1"/>
  <c r="F9" i="7" s="1"/>
  <c r="D8" i="7"/>
  <c r="D9" i="7" s="1"/>
  <c r="D7" i="7" l="1"/>
  <c r="F7" i="7"/>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C49" i="4" l="1"/>
  <c r="C50" i="4" s="1"/>
  <c r="G4" i="5"/>
  <c r="C4" i="5"/>
  <c r="C45" i="4"/>
  <c r="C41" i="4"/>
  <c r="C42" i="4" s="1"/>
  <c r="C37" i="4"/>
  <c r="C33" i="4"/>
  <c r="C34" i="4" s="1"/>
  <c r="F8" i="4"/>
  <c r="F11" i="4" s="1"/>
  <c r="G8" i="4"/>
  <c r="G11" i="4" s="1"/>
  <c r="H8" i="4"/>
  <c r="H11" i="4" s="1"/>
  <c r="I8" i="4"/>
  <c r="I15" i="4" s="1"/>
  <c r="J8" i="4"/>
  <c r="J15" i="4" s="1"/>
  <c r="K8" i="4"/>
  <c r="K11" i="4" s="1"/>
  <c r="L8" i="4"/>
  <c r="L11" i="4" s="1"/>
  <c r="M8" i="4"/>
  <c r="M9" i="4" s="1"/>
  <c r="N8" i="4"/>
  <c r="N15" i="4" s="1"/>
  <c r="O8" i="4"/>
  <c r="O15" i="4" s="1"/>
  <c r="P8" i="4"/>
  <c r="P11" i="4" s="1"/>
  <c r="E8" i="4"/>
  <c r="E6" i="4" s="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M3" i="3"/>
  <c r="I20" i="4" s="1"/>
  <c r="D9" i="4"/>
  <c r="E4" i="5" l="1"/>
  <c r="B6" i="3"/>
  <c r="J9" i="4"/>
  <c r="N9" i="4"/>
  <c r="F9" i="4"/>
  <c r="F12" i="4" s="1"/>
  <c r="I21" i="4"/>
  <c r="I23" i="4"/>
  <c r="I22" i="4"/>
  <c r="G9" i="4"/>
  <c r="G12" i="4" s="1"/>
  <c r="G49" i="4" s="1"/>
  <c r="K9" i="4"/>
  <c r="K12" i="4" s="1"/>
  <c r="K13" i="4" s="1"/>
  <c r="K45" i="4" s="1"/>
  <c r="O9" i="4"/>
  <c r="P20" i="4"/>
  <c r="L20" i="4"/>
  <c r="H20" i="4"/>
  <c r="E10" i="4"/>
  <c r="I10" i="4"/>
  <c r="M10" i="4"/>
  <c r="M37" i="4" s="1"/>
  <c r="E11" i="4"/>
  <c r="I11" i="4"/>
  <c r="M11" i="4"/>
  <c r="F15" i="4"/>
  <c r="K15" i="4"/>
  <c r="P15" i="4"/>
  <c r="H9" i="4"/>
  <c r="H12" i="4" s="1"/>
  <c r="H49" i="4" s="1"/>
  <c r="L9" i="4"/>
  <c r="L12" i="4" s="1"/>
  <c r="L13" i="4" s="1"/>
  <c r="L45" i="4" s="1"/>
  <c r="P9" i="4"/>
  <c r="O20" i="4"/>
  <c r="K20" i="4"/>
  <c r="G20" i="4"/>
  <c r="F10" i="4"/>
  <c r="F37" i="4" s="1"/>
  <c r="J10" i="4"/>
  <c r="N10" i="4"/>
  <c r="J11" i="4"/>
  <c r="J12" i="4" s="1"/>
  <c r="N11" i="4"/>
  <c r="G15" i="4"/>
  <c r="M15" i="4"/>
  <c r="E9" i="4"/>
  <c r="I9" i="4"/>
  <c r="I12" i="4" s="1"/>
  <c r="N20" i="4"/>
  <c r="J20" i="4"/>
  <c r="F20" i="4"/>
  <c r="G10" i="4"/>
  <c r="G37" i="4" s="1"/>
  <c r="K10" i="4"/>
  <c r="K37" i="4" s="1"/>
  <c r="O10" i="4"/>
  <c r="O37" i="4" s="1"/>
  <c r="O11" i="4"/>
  <c r="O12" i="4" s="1"/>
  <c r="O13" i="4" s="1"/>
  <c r="O45" i="4" s="1"/>
  <c r="N12" i="4"/>
  <c r="N13" i="4" s="1"/>
  <c r="N45" i="4" s="1"/>
  <c r="E20" i="4"/>
  <c r="M20" i="4"/>
  <c r="H10" i="4"/>
  <c r="H37" i="4" s="1"/>
  <c r="L10" i="4"/>
  <c r="L37" i="4" s="1"/>
  <c r="P10" i="4"/>
  <c r="P37" i="4" s="1"/>
  <c r="P12" i="4"/>
  <c r="P49" i="4" s="1"/>
  <c r="M12" i="4"/>
  <c r="I38" i="4"/>
  <c r="C46" i="4"/>
  <c r="N37" i="4"/>
  <c r="J37" i="4"/>
  <c r="C38" i="4"/>
  <c r="E37" i="4"/>
  <c r="I37" i="4"/>
  <c r="Q4" i="1"/>
  <c r="Q5" i="1"/>
  <c r="N27" i="4" s="1"/>
  <c r="Q6" i="1"/>
  <c r="Q7" i="1"/>
  <c r="Q8" i="1"/>
  <c r="Q9" i="1"/>
  <c r="Q10" i="1"/>
  <c r="Q11" i="1"/>
  <c r="Q12" i="1"/>
  <c r="Q13" i="1"/>
  <c r="Q14" i="1"/>
  <c r="Q15" i="1"/>
  <c r="Q16" i="1"/>
  <c r="Q17" i="1"/>
  <c r="Q18" i="1"/>
  <c r="Q19" i="1"/>
  <c r="Q20" i="1"/>
  <c r="Q21" i="1"/>
  <c r="Q22" i="1"/>
  <c r="Q23" i="1"/>
  <c r="Q24" i="1"/>
  <c r="Q25" i="1"/>
  <c r="Q26" i="1"/>
  <c r="Q27" i="1"/>
  <c r="Q28" i="1"/>
  <c r="H15" i="4" s="1"/>
  <c r="Q29" i="1"/>
  <c r="Q30" i="1"/>
  <c r="Q31" i="1"/>
  <c r="Q32" i="1"/>
  <c r="Q33" i="1"/>
  <c r="Q34" i="1"/>
  <c r="Q35" i="1"/>
  <c r="Q36" i="1"/>
  <c r="Q37" i="1"/>
  <c r="Q38" i="1"/>
  <c r="Q39" i="1"/>
  <c r="Q40" i="1"/>
  <c r="Q41" i="1"/>
  <c r="Q42" i="1"/>
  <c r="Q43" i="1"/>
  <c r="O27" i="4" s="1"/>
  <c r="Q44" i="1"/>
  <c r="I27" i="4" s="1"/>
  <c r="Q45" i="1"/>
  <c r="Q46" i="1"/>
  <c r="Q47" i="1"/>
  <c r="Q48" i="1"/>
  <c r="Q49" i="1"/>
  <c r="Q50" i="1"/>
  <c r="Q51" i="1"/>
  <c r="Q52" i="1"/>
  <c r="Q53" i="1"/>
  <c r="Q54" i="1"/>
  <c r="Q55" i="1"/>
  <c r="Q56" i="1"/>
  <c r="Q57" i="1"/>
  <c r="Q58" i="1"/>
  <c r="Q59" i="1"/>
  <c r="L15" i="4" s="1"/>
  <c r="Q60" i="1"/>
  <c r="Q61" i="1"/>
  <c r="E15" i="4" s="1"/>
  <c r="Q62" i="1"/>
  <c r="Q63" i="1"/>
  <c r="Q64" i="1"/>
  <c r="Q65" i="1"/>
  <c r="Q66"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E12" i="4" l="1"/>
  <c r="F13" i="4"/>
  <c r="F45" i="4" s="1"/>
  <c r="F49" i="4"/>
  <c r="I24" i="4"/>
  <c r="I25" i="4" s="1"/>
  <c r="I46" i="4" s="1"/>
  <c r="E27" i="4"/>
  <c r="P13" i="4"/>
  <c r="P45" i="4" s="1"/>
  <c r="F27" i="4"/>
  <c r="I50" i="4"/>
  <c r="N49" i="4"/>
  <c r="D10" i="4"/>
  <c r="B9" i="3" s="1"/>
  <c r="D11" i="4"/>
  <c r="D12" i="4" s="1"/>
  <c r="D13" i="4" s="1"/>
  <c r="B15" i="3" s="1"/>
  <c r="J13" i="4"/>
  <c r="J45" i="4" s="1"/>
  <c r="J49" i="4"/>
  <c r="L49" i="4"/>
  <c r="G13" i="4"/>
  <c r="G45" i="4" s="1"/>
  <c r="O49" i="4"/>
  <c r="E21" i="4"/>
  <c r="E23" i="4"/>
  <c r="E22" i="4"/>
  <c r="E38" i="4" s="1"/>
  <c r="N23" i="4"/>
  <c r="N22" i="4"/>
  <c r="N38" i="4" s="1"/>
  <c r="N21" i="4"/>
  <c r="O23" i="4"/>
  <c r="O22" i="4"/>
  <c r="O38" i="4" s="1"/>
  <c r="O21" i="4"/>
  <c r="P21" i="4"/>
  <c r="P27" i="4"/>
  <c r="P23" i="4"/>
  <c r="P22" i="4"/>
  <c r="P38" i="4" s="1"/>
  <c r="M23" i="4"/>
  <c r="M22" i="4"/>
  <c r="M38" i="4" s="1"/>
  <c r="M21" i="4"/>
  <c r="M27" i="4"/>
  <c r="K49" i="4"/>
  <c r="H13" i="4"/>
  <c r="H45" i="4" s="1"/>
  <c r="F21" i="4"/>
  <c r="F23" i="4"/>
  <c r="F22" i="4"/>
  <c r="F38" i="4" s="1"/>
  <c r="G23" i="4"/>
  <c r="G22" i="4"/>
  <c r="G38" i="4" s="1"/>
  <c r="G21" i="4"/>
  <c r="H21" i="4"/>
  <c r="H23" i="4"/>
  <c r="H22" i="4"/>
  <c r="H38" i="4" s="1"/>
  <c r="J21" i="4"/>
  <c r="J27" i="4"/>
  <c r="J23" i="4"/>
  <c r="J22" i="4"/>
  <c r="J38" i="4" s="1"/>
  <c r="K21" i="4"/>
  <c r="K23" i="4"/>
  <c r="K22" i="4"/>
  <c r="K38" i="4" s="1"/>
  <c r="L21" i="4"/>
  <c r="L23" i="4"/>
  <c r="L22" i="4"/>
  <c r="L38" i="4" s="1"/>
  <c r="L27" i="4"/>
  <c r="F10" i="7"/>
  <c r="D10" i="7"/>
  <c r="I13" i="4"/>
  <c r="I45" i="4" s="1"/>
  <c r="I49" i="4"/>
  <c r="E13" i="4"/>
  <c r="E45" i="4" s="1"/>
  <c r="E49" i="4"/>
  <c r="M13" i="4"/>
  <c r="M45" i="4" s="1"/>
  <c r="M49" i="4"/>
  <c r="K4" i="5"/>
  <c r="I4" i="5"/>
  <c r="G27" i="4"/>
  <c r="D16" i="4"/>
  <c r="D15" i="4"/>
  <c r="D14" i="4"/>
  <c r="F28" i="4"/>
  <c r="E28" i="4"/>
  <c r="E34" i="4" s="1"/>
  <c r="G28" i="4"/>
  <c r="P28" i="4"/>
  <c r="O28" i="4"/>
  <c r="O34" i="4" s="1"/>
  <c r="K28" i="4"/>
  <c r="M28" i="4"/>
  <c r="M34" i="4" s="1"/>
  <c r="L28" i="4"/>
  <c r="L34" i="4" s="1"/>
  <c r="N28" i="4"/>
  <c r="J28" i="4"/>
  <c r="J34" i="4" s="1"/>
  <c r="I28" i="4"/>
  <c r="I34" i="4" s="1"/>
  <c r="H28" i="4"/>
  <c r="P16" i="4"/>
  <c r="P33" i="4" s="1"/>
  <c r="L16" i="4"/>
  <c r="L33" i="4" s="1"/>
  <c r="H16" i="4"/>
  <c r="H33" i="4" s="1"/>
  <c r="O16" i="4"/>
  <c r="O33" i="4" s="1"/>
  <c r="K16" i="4"/>
  <c r="K33" i="4" s="1"/>
  <c r="G16" i="4"/>
  <c r="G33" i="4" s="1"/>
  <c r="I16" i="4"/>
  <c r="I33" i="4" s="1"/>
  <c r="N16" i="4"/>
  <c r="N33" i="4" s="1"/>
  <c r="J16" i="4"/>
  <c r="J33" i="4" s="1"/>
  <c r="F16" i="4"/>
  <c r="F33" i="4" s="1"/>
  <c r="M16" i="4"/>
  <c r="M33" i="4" s="1"/>
  <c r="E16" i="4"/>
  <c r="E33" i="4" s="1"/>
  <c r="P14" i="4"/>
  <c r="P41" i="4" s="1"/>
  <c r="L14" i="4"/>
  <c r="H14" i="4"/>
  <c r="H41" i="4" s="1"/>
  <c r="N14" i="4"/>
  <c r="J14" i="4"/>
  <c r="J41" i="4" s="1"/>
  <c r="F14" i="4"/>
  <c r="I14" i="4"/>
  <c r="I41" i="4" s="1"/>
  <c r="E14" i="4"/>
  <c r="O14" i="4"/>
  <c r="K14" i="4"/>
  <c r="G14" i="4"/>
  <c r="M14" i="4"/>
  <c r="H27" i="4"/>
  <c r="K27" i="4"/>
  <c r="G26" i="4"/>
  <c r="H26" i="4"/>
  <c r="J26" i="4"/>
  <c r="I26" i="4"/>
  <c r="F26" i="4"/>
  <c r="E26" i="4"/>
  <c r="P26" i="4"/>
  <c r="L26" i="4"/>
  <c r="O26" i="4"/>
  <c r="K26" i="4"/>
  <c r="N26" i="4"/>
  <c r="N42" i="4" s="1"/>
  <c r="M26" i="4"/>
  <c r="F34" i="4" l="1"/>
  <c r="K34" i="4"/>
  <c r="P24" i="4"/>
  <c r="P25" i="4" s="1"/>
  <c r="P46" i="4" s="1"/>
  <c r="G42" i="4"/>
  <c r="B18" i="3"/>
  <c r="F24" i="4"/>
  <c r="F50" i="4" s="1"/>
  <c r="K24" i="4"/>
  <c r="K50" i="4" s="1"/>
  <c r="N34" i="4"/>
  <c r="H34" i="4"/>
  <c r="P34" i="4"/>
  <c r="G34" i="4"/>
  <c r="J24" i="4"/>
  <c r="G24" i="4"/>
  <c r="G25" i="4" s="1"/>
  <c r="G46" i="4" s="1"/>
  <c r="O24" i="4"/>
  <c r="O25" i="4" s="1"/>
  <c r="O46" i="4" s="1"/>
  <c r="H24" i="4"/>
  <c r="P50" i="4"/>
  <c r="E24" i="4"/>
  <c r="H42" i="4"/>
  <c r="L24" i="4"/>
  <c r="M24" i="4"/>
  <c r="N24" i="4"/>
  <c r="F41" i="4"/>
  <c r="N41" i="4"/>
  <c r="E41" i="4"/>
  <c r="P42" i="4"/>
  <c r="O41" i="4"/>
  <c r="J42" i="4"/>
  <c r="K42" i="4"/>
  <c r="E42" i="4"/>
  <c r="B12" i="3"/>
  <c r="L41" i="4"/>
  <c r="G41" i="4"/>
  <c r="M42" i="4"/>
  <c r="I42" i="4"/>
  <c r="M41" i="4"/>
  <c r="O42" i="4"/>
  <c r="F42" i="4"/>
  <c r="L42" i="4"/>
  <c r="K41" i="4"/>
  <c r="F25" i="4" l="1"/>
  <c r="F46" i="4" s="1"/>
  <c r="K25" i="4"/>
  <c r="K46" i="4" s="1"/>
  <c r="O50" i="4"/>
  <c r="G50" i="4"/>
  <c r="J25" i="4"/>
  <c r="J46" i="4" s="1"/>
  <c r="J50" i="4"/>
  <c r="N25" i="4"/>
  <c r="N46" i="4" s="1"/>
  <c r="N50" i="4"/>
  <c r="E25" i="4"/>
  <c r="E46" i="4" s="1"/>
  <c r="E50" i="4"/>
  <c r="M50" i="4"/>
  <c r="M25" i="4"/>
  <c r="M46" i="4" s="1"/>
  <c r="L50" i="4"/>
  <c r="L25" i="4"/>
  <c r="L46" i="4" s="1"/>
  <c r="H25" i="4"/>
  <c r="H46" i="4" s="1"/>
  <c r="H50" i="4"/>
</calcChain>
</file>

<file path=xl/sharedStrings.xml><?xml version="1.0" encoding="utf-8"?>
<sst xmlns="http://schemas.openxmlformats.org/spreadsheetml/2006/main" count="795" uniqueCount="278">
  <si>
    <t>Full Name</t>
  </si>
  <si>
    <t>Email</t>
  </si>
  <si>
    <t>Phone</t>
  </si>
  <si>
    <t>Gender</t>
  </si>
  <si>
    <t>Location</t>
  </si>
  <si>
    <t>Department</t>
  </si>
  <si>
    <t>Contract Type</t>
  </si>
  <si>
    <t>Date of Birth</t>
  </si>
  <si>
    <t>Exit Date</t>
  </si>
  <si>
    <t>Exit Reason</t>
  </si>
  <si>
    <t>Exit Type</t>
  </si>
  <si>
    <t>Tenure</t>
  </si>
  <si>
    <t>Calculations</t>
  </si>
  <si>
    <t>Average Tenure</t>
  </si>
  <si>
    <t>Turnover Rate</t>
  </si>
  <si>
    <t>Retention Rate</t>
  </si>
  <si>
    <t>100% - Turnover rate</t>
  </si>
  <si>
    <t>Absence Rate</t>
  </si>
  <si>
    <t>Aquí se podría crear un tab adicional, donde por cada empleado registrado en la base de datos se cree una fila donde pueda registrarse el pocentaje de ausencia de un trabajador de forma mensual</t>
  </si>
  <si>
    <t>90-day quit rate</t>
  </si>
  <si>
    <t>Tiempo promedio que permanece un empleado en la compañia, medido en años</t>
  </si>
  <si>
    <t>Porcentaje de Trabajadores que renuncian / Total Empleados</t>
  </si>
  <si>
    <t>Porcentaje de Empleados que renuncian antes de los 3 meses</t>
  </si>
  <si>
    <t>ID</t>
  </si>
  <si>
    <t>Employee No. 1</t>
  </si>
  <si>
    <t>Employee No. 2</t>
  </si>
  <si>
    <t>Employee No. 3</t>
  </si>
  <si>
    <t>Employee No. 4</t>
  </si>
  <si>
    <t>Employee No. 5</t>
  </si>
  <si>
    <t>Employee No. 6</t>
  </si>
  <si>
    <t>Employee No. 7</t>
  </si>
  <si>
    <t>Employee No. 8</t>
  </si>
  <si>
    <t>Employee No. 9</t>
  </si>
  <si>
    <t>Employee No. 10</t>
  </si>
  <si>
    <t>Employee No. 11</t>
  </si>
  <si>
    <t>Employee No. 12</t>
  </si>
  <si>
    <t>Employee No. 13</t>
  </si>
  <si>
    <t>Employee No. 14</t>
  </si>
  <si>
    <t>Employee No. 15</t>
  </si>
  <si>
    <t>Employee No. 16</t>
  </si>
  <si>
    <t>Employee No. 17</t>
  </si>
  <si>
    <t>Employee No. 18</t>
  </si>
  <si>
    <t>Employee No. 19</t>
  </si>
  <si>
    <t>Employee No. 20</t>
  </si>
  <si>
    <t>Employee No. 21</t>
  </si>
  <si>
    <t>Employee No. 22</t>
  </si>
  <si>
    <t>Employee No. 23</t>
  </si>
  <si>
    <t>Employee No. 24</t>
  </si>
  <si>
    <t>Employee No. 25</t>
  </si>
  <si>
    <t>Employee No. 26</t>
  </si>
  <si>
    <t>Employee No. 27</t>
  </si>
  <si>
    <t>Employee No. 28</t>
  </si>
  <si>
    <t>Employee No. 29</t>
  </si>
  <si>
    <t>Employee No. 30</t>
  </si>
  <si>
    <t>Employee No. 31</t>
  </si>
  <si>
    <t>Employee No. 32</t>
  </si>
  <si>
    <t>Employee No. 33</t>
  </si>
  <si>
    <t>Employee No. 34</t>
  </si>
  <si>
    <t>Employee No. 35</t>
  </si>
  <si>
    <t>Employee No. 36</t>
  </si>
  <si>
    <t>Employee No. 37</t>
  </si>
  <si>
    <t>Employee No. 38</t>
  </si>
  <si>
    <t>Employee No. 39</t>
  </si>
  <si>
    <t>Employee No. 40</t>
  </si>
  <si>
    <t>Employee No. 41</t>
  </si>
  <si>
    <t>Employee No. 42</t>
  </si>
  <si>
    <t>Employee No. 43</t>
  </si>
  <si>
    <t>Employee No. 44</t>
  </si>
  <si>
    <t>Employee No. 45</t>
  </si>
  <si>
    <t>Employee No. 46</t>
  </si>
  <si>
    <t>Employee No. 47</t>
  </si>
  <si>
    <t>Employee No. 48</t>
  </si>
  <si>
    <t>Employee No. 49</t>
  </si>
  <si>
    <t>Employee No. 50</t>
  </si>
  <si>
    <t>Employee No. 51</t>
  </si>
  <si>
    <t>Employee No. 52</t>
  </si>
  <si>
    <t>Employee No. 53</t>
  </si>
  <si>
    <t>Employee No. 54</t>
  </si>
  <si>
    <t>Employee No. 55</t>
  </si>
  <si>
    <t>Employee No. 56</t>
  </si>
  <si>
    <t>Employee No. 57</t>
  </si>
  <si>
    <t>Employee No. 58</t>
  </si>
  <si>
    <t>Employee No. 59</t>
  </si>
  <si>
    <t>Employee No. 60</t>
  </si>
  <si>
    <t>Employee No. 61</t>
  </si>
  <si>
    <t>Employee No. 62</t>
  </si>
  <si>
    <t>employee 1@company.com</t>
  </si>
  <si>
    <t>employee 2@company.com</t>
  </si>
  <si>
    <t>employee 3@company.com</t>
  </si>
  <si>
    <t>employee 4@company.com</t>
  </si>
  <si>
    <t>employee 5@company.com</t>
  </si>
  <si>
    <t>employee 6@company.com</t>
  </si>
  <si>
    <t>employee 7@company.com</t>
  </si>
  <si>
    <t>employee 8@company.com</t>
  </si>
  <si>
    <t>employee 9@company.com</t>
  </si>
  <si>
    <t>employee 10@company.com</t>
  </si>
  <si>
    <t>employee 11@company.com</t>
  </si>
  <si>
    <t>employee 12@company.com</t>
  </si>
  <si>
    <t>employee 13@company.com</t>
  </si>
  <si>
    <t>employee 14@company.com</t>
  </si>
  <si>
    <t>employee 15@company.com</t>
  </si>
  <si>
    <t>employee 16@company.com</t>
  </si>
  <si>
    <t>employee 17@company.com</t>
  </si>
  <si>
    <t>employee 18@company.com</t>
  </si>
  <si>
    <t>employee 19@company.com</t>
  </si>
  <si>
    <t>employee 20@company.com</t>
  </si>
  <si>
    <t>employee 21@company.com</t>
  </si>
  <si>
    <t>employee 22@company.com</t>
  </si>
  <si>
    <t>employee 23@company.com</t>
  </si>
  <si>
    <t>employee 24@company.com</t>
  </si>
  <si>
    <t>employee 25@company.com</t>
  </si>
  <si>
    <t>employee 26@company.com</t>
  </si>
  <si>
    <t>employee 27@company.com</t>
  </si>
  <si>
    <t>employee 28@company.com</t>
  </si>
  <si>
    <t>employee 29@company.com</t>
  </si>
  <si>
    <t>employee 30@company.com</t>
  </si>
  <si>
    <t>employee 31@company.com</t>
  </si>
  <si>
    <t>employee 32@company.com</t>
  </si>
  <si>
    <t>employee 33@company.com</t>
  </si>
  <si>
    <t>employee 34@company.com</t>
  </si>
  <si>
    <t>employee 35@company.com</t>
  </si>
  <si>
    <t>employee 36@company.com</t>
  </si>
  <si>
    <t>employee 37@company.com</t>
  </si>
  <si>
    <t>employee 38@company.com</t>
  </si>
  <si>
    <t>employee 39@company.com</t>
  </si>
  <si>
    <t>employee 40@company.com</t>
  </si>
  <si>
    <t>employee 41@company.com</t>
  </si>
  <si>
    <t>employee 42@company.com</t>
  </si>
  <si>
    <t>employee 43@company.com</t>
  </si>
  <si>
    <t>employee 44@company.com</t>
  </si>
  <si>
    <t>employee 45@company.com</t>
  </si>
  <si>
    <t>employee 46@company.com</t>
  </si>
  <si>
    <t>employee 47@company.com</t>
  </si>
  <si>
    <t>employee 48@company.com</t>
  </si>
  <si>
    <t>employee 49@company.com</t>
  </si>
  <si>
    <t>employee 50@company.com</t>
  </si>
  <si>
    <t>employee 51@company.com</t>
  </si>
  <si>
    <t>employee 52@company.com</t>
  </si>
  <si>
    <t>employee 53@company.com</t>
  </si>
  <si>
    <t>employee 54@company.com</t>
  </si>
  <si>
    <t>employee 55@company.com</t>
  </si>
  <si>
    <t>employee 56@company.com</t>
  </si>
  <si>
    <t>employee 57@company.com</t>
  </si>
  <si>
    <t>employee 58@company.com</t>
  </si>
  <si>
    <t>employee 59@company.com</t>
  </si>
  <si>
    <t>employee 60@company.com</t>
  </si>
  <si>
    <t>employee 61@company.com</t>
  </si>
  <si>
    <t>employee 62@company.com</t>
  </si>
  <si>
    <t>555-555555</t>
  </si>
  <si>
    <t>Age</t>
  </si>
  <si>
    <t>Male</t>
  </si>
  <si>
    <t>Female</t>
  </si>
  <si>
    <t/>
  </si>
  <si>
    <t>Part-Time</t>
  </si>
  <si>
    <t>Full-Time</t>
  </si>
  <si>
    <t>Hourly Rate</t>
  </si>
  <si>
    <t>New York</t>
  </si>
  <si>
    <t>Seattle</t>
  </si>
  <si>
    <t>Miami</t>
  </si>
  <si>
    <t>Austin</t>
  </si>
  <si>
    <t>San Diego</t>
  </si>
  <si>
    <t>Denver</t>
  </si>
  <si>
    <t>Voluntary</t>
  </si>
  <si>
    <t>Involuntary</t>
  </si>
  <si>
    <t>Marketing</t>
  </si>
  <si>
    <t>Sales</t>
  </si>
  <si>
    <t>EMPLOYEE DATABASE</t>
  </si>
  <si>
    <t>Personal</t>
  </si>
  <si>
    <t>Discipline</t>
  </si>
  <si>
    <t>Other</t>
  </si>
  <si>
    <t>Developer</t>
  </si>
  <si>
    <t>Team Leader</t>
  </si>
  <si>
    <t>Select Your measures:</t>
  </si>
  <si>
    <t>Active Employees</t>
  </si>
  <si>
    <t>Hires</t>
  </si>
  <si>
    <t>Exits</t>
  </si>
  <si>
    <t>Avg. Tenure</t>
  </si>
  <si>
    <t>Avg. Tenure of Exits</t>
  </si>
  <si>
    <t>Avg. Age of Employees</t>
  </si>
  <si>
    <t>Absense Rate</t>
  </si>
  <si>
    <t>MONTHLY DASHBOARD</t>
  </si>
  <si>
    <t>Year:</t>
  </si>
  <si>
    <t>Compared to:</t>
  </si>
  <si>
    <t>Year Entry</t>
  </si>
  <si>
    <t>Month Entry</t>
  </si>
  <si>
    <t>Year Exit</t>
  </si>
  <si>
    <t>Month Exit</t>
  </si>
  <si>
    <t>Jan</t>
  </si>
  <si>
    <t>Feb</t>
  </si>
  <si>
    <t>Mar</t>
  </si>
  <si>
    <t>Apr</t>
  </si>
  <si>
    <t>May</t>
  </si>
  <si>
    <t>Jun</t>
  </si>
  <si>
    <t>Jul</t>
  </si>
  <si>
    <t>Aug</t>
  </si>
  <si>
    <t>Sep</t>
  </si>
  <si>
    <t>Oct</t>
  </si>
  <si>
    <t>Nov</t>
  </si>
  <si>
    <t>Dec</t>
  </si>
  <si>
    <t>Row Labels</t>
  </si>
  <si>
    <t>(blank)</t>
  </si>
  <si>
    <t>Grand Total</t>
  </si>
  <si>
    <t>Count of ID</t>
  </si>
  <si>
    <t>Total Active
Employees</t>
  </si>
  <si>
    <t>Total Historical
Hires</t>
  </si>
  <si>
    <t>Total Historical
Exits</t>
  </si>
  <si>
    <t>Average Employee
Age</t>
  </si>
  <si>
    <t>Count of Entry Date</t>
  </si>
  <si>
    <t>FILTERS</t>
  </si>
  <si>
    <t>SUMMARY</t>
  </si>
  <si>
    <t>*Keep your employee data updated</t>
  </si>
  <si>
    <t>Hire Source</t>
  </si>
  <si>
    <t>Internal Referral</t>
  </si>
  <si>
    <t>Career Faris</t>
  </si>
  <si>
    <t>Job Boards</t>
  </si>
  <si>
    <t>Online Portal</t>
  </si>
  <si>
    <t>Organic</t>
  </si>
  <si>
    <t>Recruiting Agency</t>
  </si>
  <si>
    <t>Career Fairs</t>
  </si>
  <si>
    <t>Departments</t>
  </si>
  <si>
    <t>DEPARTMENT DASHBOARD</t>
  </si>
  <si>
    <t>vs.</t>
  </si>
  <si>
    <t>Select Departments:</t>
  </si>
  <si>
    <t>Active 
Employees</t>
  </si>
  <si>
    <t>Turnover
Rate</t>
  </si>
  <si>
    <t>Avg.
Tenure</t>
  </si>
  <si>
    <t>Accounting and Finance</t>
  </si>
  <si>
    <t>Administrative</t>
  </si>
  <si>
    <t>Customer Service</t>
  </si>
  <si>
    <t>Human Resources</t>
  </si>
  <si>
    <t>IT</t>
  </si>
  <si>
    <t>Legal</t>
  </si>
  <si>
    <t>Logistics</t>
  </si>
  <si>
    <t>Operations</t>
  </si>
  <si>
    <t>Production</t>
  </si>
  <si>
    <t>Purchase</t>
  </si>
  <si>
    <t>Research</t>
  </si>
  <si>
    <t>Career focus change</t>
  </si>
  <si>
    <t>Contract end</t>
  </si>
  <si>
    <t>Dismissal</t>
  </si>
  <si>
    <t>Not a cultural fit</t>
  </si>
  <si>
    <t>Personal Reasons</t>
  </si>
  <si>
    <t>Position was eliminated</t>
  </si>
  <si>
    <t>Salary</t>
  </si>
  <si>
    <t>Other Reason</t>
  </si>
  <si>
    <t>CEO</t>
  </si>
  <si>
    <t>CIO</t>
  </si>
  <si>
    <t>COO</t>
  </si>
  <si>
    <t>CMO</t>
  </si>
  <si>
    <t>CFO</t>
  </si>
  <si>
    <t>CTO</t>
  </si>
  <si>
    <t>Accountant</t>
  </si>
  <si>
    <t>Copywriter</t>
  </si>
  <si>
    <t>Designer</t>
  </si>
  <si>
    <t>Finance manager</t>
  </si>
  <si>
    <t>Legal manager</t>
  </si>
  <si>
    <t>Marketing manager</t>
  </si>
  <si>
    <t>Operations manager</t>
  </si>
  <si>
    <t>Purchasing manager</t>
  </si>
  <si>
    <t>Project Manager</t>
  </si>
  <si>
    <t>Quality control, safety, environmental manager</t>
  </si>
  <si>
    <t>Receptionist</t>
  </si>
  <si>
    <t>Office manager</t>
  </si>
  <si>
    <t>Role</t>
  </si>
  <si>
    <t>0. Enable Macros when you open this document.</t>
  </si>
  <si>
    <t>NOTE: All dates are shown in the DD.MM.YY format.</t>
  </si>
  <si>
    <t>1. These document consists of four tabs (Database, People Database, Monthly Dashboard and Department Comparison)</t>
  </si>
  <si>
    <t>2. Start by adding your employees information to the database</t>
  </si>
  <si>
    <t>2.1. You can add up to 999 employees. For optimal use, please once you enter the information for an employee, do not change it unless it was mistaken.</t>
  </si>
  <si>
    <t>3. For People Database, you'll see a summary for all the information in the Database. The section on the top contain general information for your company. The graphs below contain additional information that could be filtered with the Slicers at the left of the screen.</t>
  </si>
  <si>
    <t>4. The 'Monthly dashboard' tab will show the information for Active Employees, Hires, Exits, Avg Tenure for your company's current year, as well as a comparrison against the previous year.</t>
  </si>
  <si>
    <t>5. The tab 'Department Comparison' will allow you to compare two different Departments by selecting from the List of options at the top. You'll see metrics compared below.</t>
  </si>
  <si>
    <t>www.bream.in</t>
  </si>
  <si>
    <t>The All-in-one Platform to recruit and manage your team</t>
  </si>
  <si>
    <t>Powered Bream.in</t>
  </si>
  <si>
    <t>Powered by Bream.in</t>
  </si>
  <si>
    <t>Column1</t>
  </si>
  <si>
    <t>More resources for your All Departments workforce analytics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</si>
</sst>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
    <numFmt numFmtId="165" formatCode="0.0"/>
  </numFmts>
  <fonts count="39">
    <font>
      <sz val="11"/>
      <color theme="1"/>
      <name val="Calibri"/>
      <family val="2"/>
      <scheme val="minor"/>
    </font>
    <font>
      <sz val="8"/>
      <name val="Calibri"/>
      <family val="2"/>
      <scheme val="minor"/>
    </font>
    <font>
      <sz val="11"/>
      <color theme="1"/>
      <name val="Calibri"/>
      <family val="2"/>
      <scheme val="minor"/>
    </font>
    <font>
      <sz val="11"/>
      <color theme="1"/>
      <name val="Lato"/>
      <family val="2"/>
    </font>
    <font>
      <sz val="10"/>
      <color theme="1"/>
      <name val="Lato"/>
      <family val="2"/>
    </font>
    <font>
      <b/>
      <sz val="10"/>
      <color theme="1"/>
      <name val="Lato"/>
      <family val="2"/>
    </font>
    <font>
      <b/>
      <sz val="10"/>
      <color rgb="FFF6F6F6"/>
      <name val="Lato"/>
      <family val="2"/>
    </font>
    <font>
      <b/>
      <sz val="12"/>
      <color theme="1"/>
      <name val="Lato"/>
      <family val="2"/>
    </font>
    <font>
      <b/>
      <sz val="10"/>
      <color rgb="FF009688"/>
      <name val="Lato"/>
      <family val="2"/>
    </font>
    <font>
      <b/>
      <sz val="10"/>
      <color theme="5"/>
      <name val="Lato"/>
      <family val="2"/>
    </font>
    <font>
      <sz val="9"/>
      <color theme="1"/>
      <name val="Lato"/>
      <family val="2"/>
    </font>
    <font>
      <sz val="28"/>
      <color rgb="FF009688"/>
      <name val="Lato"/>
      <family val="2"/>
    </font>
    <font>
      <b/>
      <sz val="18"/>
      <color theme="1"/>
      <name val="Lato"/>
      <family val="2"/>
    </font>
    <font>
      <b/>
      <sz val="8"/>
      <color theme="0"/>
      <name val="Lato"/>
      <family val="2"/>
    </font>
    <font>
      <b/>
      <sz val="22"/>
      <color theme="0"/>
      <name val="Lato"/>
      <family val="2"/>
    </font>
    <font>
      <b/>
      <sz val="11"/>
      <color theme="0"/>
      <name val="Lato"/>
      <family val="2"/>
    </font>
    <font>
      <b/>
      <sz val="9"/>
      <color theme="1"/>
      <name val="Lato"/>
      <family val="2"/>
    </font>
    <font>
      <b/>
      <sz val="12"/>
      <name val="Lato"/>
      <family val="2"/>
    </font>
    <font>
      <sz val="9"/>
      <name val="Lato"/>
      <family val="2"/>
    </font>
    <font>
      <sz val="9"/>
      <color rgb="FFFF0000"/>
      <name val="Lato"/>
      <family val="2"/>
    </font>
    <font>
      <sz val="9"/>
      <color rgb="FFF6F6F6"/>
      <name val="Lato"/>
      <family val="2"/>
    </font>
    <font>
      <u/>
      <sz val="11"/>
      <color theme="10"/>
      <name val="Calibri"/>
      <family val="2"/>
      <scheme val="minor"/>
    </font>
    <font>
      <sz val="14"/>
      <color rgb="FF33CCCC"/>
      <name val="Lato Light"/>
      <family val="2"/>
    </font>
    <font>
      <b/>
      <sz val="18"/>
      <color rgb="FF009688"/>
      <name val="Lato"/>
      <family val="2"/>
    </font>
    <font>
      <sz val="9"/>
      <color rgb="FF009688"/>
      <name val="Lato"/>
      <family val="2"/>
    </font>
    <font>
      <b/>
      <sz val="14"/>
      <color rgb="FF009688"/>
      <name val="Lato"/>
      <family val="2"/>
    </font>
    <font>
      <sz val="10"/>
      <color rgb="FF009688"/>
      <name val="Lato"/>
      <family val="2"/>
    </font>
    <font>
      <b/>
      <sz val="12"/>
      <color theme="1"/>
      <name val="Trebuchet MS"/>
      <family val="2"/>
    </font>
    <font>
      <sz val="11"/>
      <color theme="0" tint="-0.14999847407452621"/>
      <name val="Lato"/>
      <family val="2"/>
    </font>
    <font>
      <b/>
      <sz val="9"/>
      <color theme="0"/>
      <name val="Lato"/>
      <family val="2"/>
    </font>
    <font>
      <u/>
      <sz val="16"/>
      <color theme="10"/>
      <name val="Lato"/>
      <family val="2"/>
    </font>
    <font>
      <u/>
      <sz val="11"/>
      <color theme="10"/>
      <name val="Lato"/>
      <family val="2"/>
    </font>
    <font>
      <sz val="12"/>
      <color theme="0"/>
      <name val="Lato"/>
      <family val="2"/>
    </font>
    <font>
      <sz val="11"/>
      <color theme="0"/>
      <name val="Lato"/>
      <family val="2"/>
    </font>
    <font>
      <u/>
      <sz val="9"/>
      <color theme="10"/>
      <name val="Lato"/>
      <family val="2"/>
    </font>
    <font>
      <b/>
      <sz val="16"/>
      <name val="Lato"/>
      <family val="2"/>
    </font>
    <font>
      <u/>
      <sz val="20"/>
      <color theme="10"/>
      <name val="Calibri"/>
      <family val="2"/>
      <scheme val="minor"/>
    </font>
    <font>
      <sz val="36"/>
      <color rgb="FF2C2F35"/>
      <name val="Lato"/>
      <family val="2"/>
    </font>
    <font>
      <sz val="34"/>
      <color rgb="FF2C2F35"/>
      <name val="Lato"/>
    </font>
  </fonts>
  <fills count="16">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009688"/>
        <bgColor indexed="64"/>
      </patternFill>
    </fill>
    <fill>
      <patternFill patternType="solid">
        <fgColor rgb="FFF6F6F6"/>
        <bgColor indexed="64"/>
      </patternFill>
    </fill>
    <fill>
      <patternFill patternType="solid">
        <fgColor theme="1"/>
        <bgColor indexed="64"/>
      </patternFill>
    </fill>
    <fill>
      <patternFill patternType="solid">
        <fgColor rgb="FFFF9999"/>
        <bgColor indexed="64"/>
      </patternFill>
    </fill>
    <fill>
      <patternFill patternType="solid">
        <fgColor theme="0" tint="-4.9989318521683403E-2"/>
        <bgColor indexed="64"/>
      </patternFill>
    </fill>
    <fill>
      <patternFill patternType="solid">
        <fgColor theme="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0"/>
        <bgColor indexed="64"/>
      </patternFill>
    </fill>
  </fills>
  <borders count="9">
    <border>
      <left/>
      <right/>
      <top/>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0" fontId="21" fillId="0" borderId="0" applyNumberFormat="0" applyFill="0" applyBorder="0" applyAlignment="0" applyProtection="0"/>
  </cellStyleXfs>
  <cellXfs count="108">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Fill="1"/>
    <xf numFmtId="0" fontId="0" fillId="8" borderId="0" xfId="0" applyFill="1"/>
    <xf numFmtId="0" fontId="3" fillId="0" borderId="0" xfId="0" applyFont="1"/>
    <xf numFmtId="0" fontId="3" fillId="8" borderId="0" xfId="0" applyFont="1" applyFill="1"/>
    <xf numFmtId="0" fontId="4" fillId="0" borderId="0" xfId="0" applyFont="1"/>
    <xf numFmtId="0" fontId="4" fillId="0" borderId="0" xfId="0" applyFont="1" applyAlignment="1">
      <alignment horizontal="center"/>
    </xf>
    <xf numFmtId="0" fontId="4" fillId="0" borderId="0" xfId="0" applyFont="1" applyAlignment="1">
      <alignment horizontal="right"/>
    </xf>
    <xf numFmtId="0" fontId="6" fillId="7" borderId="0" xfId="0" applyFont="1" applyFill="1" applyAlignment="1">
      <alignment horizontal="center" vertical="center"/>
    </xf>
    <xf numFmtId="0" fontId="5" fillId="0" borderId="0" xfId="0" applyFont="1" applyAlignment="1">
      <alignment horizontal="center"/>
    </xf>
    <xf numFmtId="2" fontId="3" fillId="0" borderId="0" xfId="0" applyNumberFormat="1" applyFont="1" applyAlignment="1">
      <alignment horizontal="center"/>
    </xf>
    <xf numFmtId="0" fontId="8" fillId="8" borderId="0" xfId="0" applyFont="1" applyFill="1" applyAlignment="1">
      <alignment horizontal="center"/>
    </xf>
    <xf numFmtId="0" fontId="9" fillId="8" borderId="0" xfId="0" applyFont="1" applyFill="1" applyAlignment="1">
      <alignment horizontal="center"/>
    </xf>
    <xf numFmtId="14" fontId="10" fillId="0" borderId="0" xfId="0" applyNumberFormat="1" applyFont="1" applyAlignment="1">
      <alignment horizontal="center"/>
    </xf>
    <xf numFmtId="0" fontId="3" fillId="0" borderId="0" xfId="0" applyFont="1" applyAlignment="1">
      <alignment horizontal="center"/>
    </xf>
    <xf numFmtId="0" fontId="10" fillId="0" borderId="0" xfId="0" applyFont="1" applyAlignment="1">
      <alignment horizontal="center"/>
    </xf>
    <xf numFmtId="0" fontId="10" fillId="0" borderId="0" xfId="0" applyFont="1" applyAlignment="1">
      <alignment horizontal="center" vertical="center"/>
    </xf>
    <xf numFmtId="9" fontId="3" fillId="0" borderId="0" xfId="1" applyFont="1" applyAlignment="1">
      <alignment horizontal="center"/>
    </xf>
    <xf numFmtId="9" fontId="3" fillId="0" borderId="0" xfId="0" applyNumberFormat="1" applyFont="1" applyAlignment="1">
      <alignment horizontal="center"/>
    </xf>
    <xf numFmtId="165" fontId="3" fillId="0" borderId="0" xfId="0" applyNumberFormat="1" applyFont="1" applyAlignment="1">
      <alignment horizontal="center"/>
    </xf>
    <xf numFmtId="1" fontId="3" fillId="0" borderId="0" xfId="0" applyNumberFormat="1" applyFont="1" applyAlignment="1">
      <alignment horizontal="center"/>
    </xf>
    <xf numFmtId="0" fontId="11" fillId="8" borderId="0" xfId="0" applyFont="1" applyFill="1" applyAlignment="1">
      <alignment horizontal="center" vertical="center"/>
    </xf>
    <xf numFmtId="9" fontId="11" fillId="8" borderId="0" xfId="1" applyFont="1" applyFill="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13" fillId="9" borderId="0" xfId="0" applyFont="1" applyFill="1" applyAlignment="1">
      <alignment horizontal="center" vertical="center" wrapText="1"/>
    </xf>
    <xf numFmtId="0" fontId="3" fillId="0" borderId="0" xfId="0" applyFont="1" applyFill="1"/>
    <xf numFmtId="1" fontId="0" fillId="0" borderId="0" xfId="0" applyNumberFormat="1" applyAlignment="1">
      <alignment horizontal="left"/>
    </xf>
    <xf numFmtId="0" fontId="15" fillId="7" borderId="0" xfId="0" applyFont="1" applyFill="1" applyAlignment="1">
      <alignment horizontal="center"/>
    </xf>
    <xf numFmtId="0" fontId="10" fillId="0" borderId="0" xfId="0" applyFont="1"/>
    <xf numFmtId="0" fontId="16" fillId="0" borderId="0" xfId="0" applyFont="1" applyAlignment="1">
      <alignment horizontal="center"/>
    </xf>
    <xf numFmtId="0" fontId="7" fillId="0" borderId="0" xfId="0" applyFont="1" applyAlignment="1">
      <alignment horizontal="center" vertical="center" wrapText="1"/>
    </xf>
    <xf numFmtId="0" fontId="17" fillId="2" borderId="1" xfId="0" applyFont="1" applyFill="1" applyBorder="1" applyAlignment="1">
      <alignment horizontal="center" vertical="center" wrapText="1"/>
    </xf>
    <xf numFmtId="0" fontId="17" fillId="3" borderId="1" xfId="0" applyFont="1" applyFill="1" applyBorder="1" applyAlignment="1">
      <alignment horizontal="center" vertical="center" wrapText="1"/>
    </xf>
    <xf numFmtId="0" fontId="17" fillId="4" borderId="1" xfId="0" applyFont="1" applyFill="1" applyBorder="1" applyAlignment="1">
      <alignment horizontal="center" vertical="center" wrapText="1"/>
    </xf>
    <xf numFmtId="0" fontId="18" fillId="0" borderId="0" xfId="0" applyFont="1" applyAlignment="1">
      <alignment horizontal="center"/>
    </xf>
    <xf numFmtId="0" fontId="18" fillId="0" borderId="0" xfId="0" applyFont="1"/>
    <xf numFmtId="164" fontId="18" fillId="0" borderId="0" xfId="0" applyNumberFormat="1" applyFont="1" applyAlignment="1">
      <alignment horizontal="center"/>
    </xf>
    <xf numFmtId="165" fontId="18" fillId="0" borderId="0" xfId="0" applyNumberFormat="1" applyFont="1" applyAlignment="1">
      <alignment horizontal="center"/>
    </xf>
    <xf numFmtId="1" fontId="18" fillId="0" borderId="0" xfId="0" applyNumberFormat="1" applyFont="1" applyAlignment="1">
      <alignment horizontal="center"/>
    </xf>
    <xf numFmtId="164" fontId="18" fillId="0" borderId="0" xfId="0" applyNumberFormat="1" applyFont="1"/>
    <xf numFmtId="1" fontId="11" fillId="8" borderId="0" xfId="1" applyNumberFormat="1" applyFont="1" applyFill="1" applyAlignment="1">
      <alignment horizontal="center" vertical="center"/>
    </xf>
    <xf numFmtId="1" fontId="3" fillId="0" borderId="0" xfId="1" applyNumberFormat="1" applyFont="1" applyAlignment="1">
      <alignment horizontal="center"/>
    </xf>
    <xf numFmtId="1" fontId="11" fillId="8" borderId="0" xfId="0" applyNumberFormat="1" applyFont="1" applyFill="1" applyAlignment="1">
      <alignment horizontal="center" vertical="center"/>
    </xf>
    <xf numFmtId="0" fontId="17" fillId="10" borderId="1" xfId="0" applyFont="1" applyFill="1" applyBorder="1" applyAlignment="1">
      <alignment horizontal="center" vertical="center" wrapText="1"/>
    </xf>
    <xf numFmtId="0" fontId="0" fillId="11" borderId="0" xfId="0" applyFill="1"/>
    <xf numFmtId="0" fontId="18" fillId="5" borderId="2" xfId="0" applyFont="1" applyFill="1" applyBorder="1" applyAlignment="1">
      <alignment horizontal="center"/>
    </xf>
    <xf numFmtId="0" fontId="18" fillId="6" borderId="2" xfId="0" applyFont="1" applyFill="1" applyBorder="1" applyAlignment="1">
      <alignment horizontal="center"/>
    </xf>
    <xf numFmtId="0" fontId="5" fillId="0" borderId="0" xfId="0" applyFont="1" applyAlignment="1">
      <alignment horizontal="center" vertical="center" wrapText="1"/>
    </xf>
    <xf numFmtId="0" fontId="6" fillId="7" borderId="0" xfId="0" applyFont="1" applyFill="1" applyAlignment="1">
      <alignment horizontal="center"/>
    </xf>
    <xf numFmtId="0" fontId="6" fillId="12" borderId="0" xfId="0" applyFont="1" applyFill="1" applyAlignment="1">
      <alignment horizontal="center"/>
    </xf>
    <xf numFmtId="0" fontId="17" fillId="13" borderId="1" xfId="0" applyFont="1" applyFill="1" applyBorder="1" applyAlignment="1">
      <alignment horizontal="center" vertical="center" wrapText="1"/>
    </xf>
    <xf numFmtId="0" fontId="22" fillId="8" borderId="0" xfId="0" applyFont="1" applyFill="1" applyAlignment="1">
      <alignment horizontal="right" vertical="center"/>
    </xf>
    <xf numFmtId="0" fontId="20" fillId="8" borderId="0" xfId="0" applyFont="1" applyFill="1"/>
    <xf numFmtId="0" fontId="23" fillId="8" borderId="0" xfId="0" applyFont="1" applyFill="1" applyAlignment="1">
      <alignment vertical="center"/>
    </xf>
    <xf numFmtId="0" fontId="24" fillId="8" borderId="0" xfId="0" applyFont="1" applyFill="1"/>
    <xf numFmtId="0" fontId="24" fillId="8" borderId="0" xfId="0" applyFont="1" applyFill="1" applyAlignment="1">
      <alignment horizontal="center"/>
    </xf>
    <xf numFmtId="0" fontId="25" fillId="8" borderId="0" xfId="0" applyFont="1" applyFill="1" applyAlignment="1">
      <alignment vertical="center"/>
    </xf>
    <xf numFmtId="0" fontId="26" fillId="8" borderId="0" xfId="0" applyFont="1" applyFill="1"/>
    <xf numFmtId="0" fontId="10" fillId="8" borderId="0" xfId="0" applyFont="1" applyFill="1"/>
    <xf numFmtId="0" fontId="3" fillId="14" borderId="0" xfId="0" applyFont="1" applyFill="1"/>
    <xf numFmtId="0" fontId="4" fillId="14" borderId="0" xfId="0" applyFont="1" applyFill="1"/>
    <xf numFmtId="0" fontId="4" fillId="14" borderId="0" xfId="0" applyFont="1" applyFill="1" applyAlignment="1">
      <alignment horizontal="right"/>
    </xf>
    <xf numFmtId="0" fontId="5" fillId="14" borderId="0" xfId="0" applyFont="1" applyFill="1" applyAlignment="1">
      <alignment horizontal="center" vertical="center" wrapText="1"/>
    </xf>
    <xf numFmtId="0" fontId="4" fillId="14" borderId="0" xfId="0" applyFont="1" applyFill="1" applyAlignment="1">
      <alignment horizontal="center"/>
    </xf>
    <xf numFmtId="0" fontId="28" fillId="14" borderId="0" xfId="0" applyFont="1" applyFill="1" applyAlignment="1">
      <alignment horizontal="right" vertical="center"/>
    </xf>
    <xf numFmtId="9" fontId="28" fillId="14" borderId="0" xfId="1" applyFont="1" applyFill="1" applyAlignment="1">
      <alignment vertical="center"/>
    </xf>
    <xf numFmtId="165" fontId="28" fillId="14" borderId="0" xfId="0" applyNumberFormat="1" applyFont="1" applyFill="1" applyAlignment="1">
      <alignment horizontal="right" vertical="center"/>
    </xf>
    <xf numFmtId="0" fontId="28" fillId="14" borderId="0" xfId="0" applyFont="1" applyFill="1" applyAlignment="1">
      <alignment horizontal="left" vertical="center"/>
    </xf>
    <xf numFmtId="9" fontId="28" fillId="14" borderId="0" xfId="1" applyFont="1" applyFill="1" applyAlignment="1">
      <alignment horizontal="left" vertical="center"/>
    </xf>
    <xf numFmtId="165" fontId="28" fillId="14" borderId="0" xfId="0" applyNumberFormat="1" applyFont="1" applyFill="1" applyAlignment="1">
      <alignment horizontal="left" vertical="center"/>
    </xf>
    <xf numFmtId="0" fontId="12" fillId="14" borderId="0" xfId="0" applyFont="1" applyFill="1" applyAlignment="1">
      <alignment horizontal="center" vertical="center"/>
    </xf>
    <xf numFmtId="1" fontId="12" fillId="14" borderId="0" xfId="0" applyNumberFormat="1" applyFont="1" applyFill="1" applyAlignment="1">
      <alignment horizontal="center" vertical="center"/>
    </xf>
    <xf numFmtId="165" fontId="12" fillId="14" borderId="0" xfId="0" applyNumberFormat="1" applyFont="1" applyFill="1" applyAlignment="1">
      <alignment horizontal="center" vertical="center"/>
    </xf>
    <xf numFmtId="0" fontId="29" fillId="7" borderId="0" xfId="0" applyFont="1" applyFill="1" applyAlignment="1">
      <alignment horizontal="center" vertical="center" wrapText="1"/>
    </xf>
    <xf numFmtId="0" fontId="27" fillId="0" borderId="0" xfId="0" applyFont="1" applyFill="1" applyBorder="1" applyAlignment="1">
      <alignment vertical="center" wrapText="1"/>
    </xf>
    <xf numFmtId="0" fontId="31" fillId="7" borderId="0" xfId="2" applyFont="1" applyFill="1" applyAlignment="1">
      <alignment horizontal="center"/>
    </xf>
    <xf numFmtId="0" fontId="3" fillId="7" borderId="0" xfId="0" applyFont="1" applyFill="1"/>
    <xf numFmtId="0" fontId="32" fillId="7" borderId="0" xfId="0" applyFont="1" applyFill="1"/>
    <xf numFmtId="0" fontId="33" fillId="7" borderId="0" xfId="0" applyFont="1" applyFill="1"/>
    <xf numFmtId="0" fontId="15" fillId="7" borderId="0" xfId="0" applyFont="1" applyFill="1"/>
    <xf numFmtId="0" fontId="21" fillId="8" borderId="0" xfId="2" applyFill="1" applyAlignment="1">
      <alignment horizontal="right" vertical="center"/>
    </xf>
    <xf numFmtId="0" fontId="32" fillId="7" borderId="0" xfId="0" applyFont="1" applyFill="1" applyAlignment="1">
      <alignment horizontal="left" vertical="top" wrapText="1"/>
    </xf>
    <xf numFmtId="0" fontId="21" fillId="8" borderId="0" xfId="2" applyFill="1" applyAlignment="1">
      <alignment horizontal="center"/>
    </xf>
    <xf numFmtId="0" fontId="30" fillId="8" borderId="0" xfId="2" applyFont="1" applyFill="1" applyAlignment="1">
      <alignment horizontal="center"/>
    </xf>
    <xf numFmtId="0" fontId="32" fillId="7" borderId="0" xfId="0" applyFont="1" applyFill="1" applyAlignment="1">
      <alignment horizontal="left" wrapText="1"/>
    </xf>
    <xf numFmtId="0" fontId="19" fillId="0" borderId="0" xfId="0" applyFont="1" applyAlignment="1">
      <alignment horizontal="left" vertical="center"/>
    </xf>
    <xf numFmtId="0" fontId="21" fillId="8" borderId="0" xfId="2" applyFill="1" applyAlignment="1">
      <alignment horizontal="right" vertical="center"/>
    </xf>
    <xf numFmtId="0" fontId="14" fillId="7" borderId="0" xfId="0" applyFont="1" applyFill="1" applyAlignment="1">
      <alignment horizontal="center" vertical="center"/>
    </xf>
    <xf numFmtId="0" fontId="35" fillId="15" borderId="3" xfId="0" applyFont="1" applyFill="1" applyBorder="1" applyAlignment="1">
      <alignment horizontal="center" vertical="center"/>
    </xf>
    <xf numFmtId="0" fontId="35" fillId="15" borderId="4" xfId="0" applyFont="1" applyFill="1" applyBorder="1" applyAlignment="1">
      <alignment horizontal="center" vertical="center"/>
    </xf>
    <xf numFmtId="0" fontId="35" fillId="15" borderId="5" xfId="0" applyFont="1" applyFill="1" applyBorder="1" applyAlignment="1">
      <alignment horizontal="center" vertical="center"/>
    </xf>
    <xf numFmtId="0" fontId="35" fillId="15" borderId="6" xfId="0" applyFont="1" applyFill="1" applyBorder="1" applyAlignment="1">
      <alignment horizontal="center" vertical="center"/>
    </xf>
    <xf numFmtId="0" fontId="35" fillId="15" borderId="7" xfId="0" applyFont="1" applyFill="1" applyBorder="1" applyAlignment="1">
      <alignment horizontal="center" vertical="center"/>
    </xf>
    <xf numFmtId="0" fontId="35" fillId="15" borderId="8" xfId="0" applyFont="1" applyFill="1" applyBorder="1" applyAlignment="1">
      <alignment horizontal="center" vertical="center"/>
    </xf>
    <xf numFmtId="0" fontId="34" fillId="8" borderId="0" xfId="2" applyFont="1" applyFill="1" applyBorder="1" applyAlignment="1">
      <alignment vertical="center"/>
    </xf>
    <xf numFmtId="0" fontId="4" fillId="8" borderId="0" xfId="0" applyFont="1" applyFill="1" applyBorder="1"/>
    <xf numFmtId="0" fontId="3" fillId="8" borderId="0" xfId="0" applyFont="1" applyFill="1" applyBorder="1"/>
    <xf numFmtId="0" fontId="3" fillId="11" borderId="0" xfId="0" applyFont="1" applyFill="1"/>
    <xf numFmtId="0" fontId="37" fillId="8" borderId="0" xfId="0" applyFont="1" applyFill="1" applyAlignment="1">
      <alignment horizontal="center" vertical="center" wrapText="1"/>
    </xf>
    <xf numFmtId="49" fontId="0" fillId="0" borderId="0" xfId="0" applyNumberFormat="1"/>
    <xf numFmtId="0" fontId="36" fillId="8" borderId="6" xfId="2" applyFont="1" applyFill="1" applyBorder="1" applyAlignment="1">
      <alignment horizontal="center" vertical="center"/>
    </xf>
    <xf numFmtId="0" fontId="36" fillId="8" borderId="7" xfId="2" applyFont="1" applyFill="1" applyBorder="1" applyAlignment="1">
      <alignment horizontal="center" vertical="center"/>
    </xf>
    <xf numFmtId="0" fontId="36" fillId="8" borderId="8" xfId="2" applyFont="1" applyFill="1" applyBorder="1" applyAlignment="1">
      <alignment horizontal="center" vertical="center"/>
    </xf>
    <xf numFmtId="0" fontId="38" fillId="8" borderId="0" xfId="0" applyFont="1" applyFill="1" applyAlignment="1">
      <alignment horizontal="center" vertical="center" wrapText="1"/>
    </xf>
  </cellXfs>
  <cellStyles count="3">
    <cellStyle name="Hyperlink" xfId="2" builtinId="8"/>
    <cellStyle name="Normal" xfId="0" builtinId="0"/>
    <cellStyle name="Per cent" xfId="1" builtinId="5"/>
  </cellStyles>
  <dxfs count="32">
    <dxf>
      <font>
        <b val="0"/>
        <i val="0"/>
        <strike val="0"/>
        <condense val="0"/>
        <extend val="0"/>
        <outline val="0"/>
        <shadow val="0"/>
        <u val="none"/>
        <vertAlign val="baseline"/>
        <sz val="9"/>
        <color auto="1"/>
        <name val="Lato"/>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64" formatCode="dd\.mm\.yy;@"/>
    </dxf>
    <dxf>
      <font>
        <b val="0"/>
        <i val="0"/>
        <strike val="0"/>
        <condense val="0"/>
        <extend val="0"/>
        <outline val="0"/>
        <shadow val="0"/>
        <u val="none"/>
        <vertAlign val="baseline"/>
        <sz val="9"/>
        <color auto="1"/>
        <name val="Lato"/>
        <family val="2"/>
        <scheme val="none"/>
      </font>
    </dxf>
    <dxf>
      <font>
        <b val="0"/>
        <i val="0"/>
        <strike val="0"/>
        <condense val="0"/>
        <extend val="0"/>
        <outline val="0"/>
        <shadow val="0"/>
        <u val="none"/>
        <vertAlign val="baseline"/>
        <sz val="9"/>
        <color auto="1"/>
        <name val="Lato"/>
        <family val="2"/>
        <scheme val="none"/>
      </font>
    </dxf>
    <dxf>
      <font>
        <b val="0"/>
        <i val="0"/>
        <strike val="0"/>
        <condense val="0"/>
        <extend val="0"/>
        <outline val="0"/>
        <shadow val="0"/>
        <u val="none"/>
        <vertAlign val="baseline"/>
        <sz val="9"/>
        <color auto="1"/>
        <name val="Lato"/>
        <family val="2"/>
        <scheme val="none"/>
      </font>
      <alignment horizontal="center" textRotation="0" indent="0" justifyLastLine="0" shrinkToFit="0" readingOrder="0"/>
    </dxf>
    <dxf>
      <font>
        <b val="0"/>
        <i val="0"/>
        <strike val="0"/>
        <condense val="0"/>
        <extend val="0"/>
        <outline val="0"/>
        <shadow val="0"/>
        <u val="none"/>
        <vertAlign val="baseline"/>
        <sz val="9"/>
        <color auto="1"/>
        <name val="Lato"/>
        <family val="2"/>
        <scheme val="none"/>
      </font>
    </dxf>
    <dxf>
      <font>
        <b val="0"/>
        <i val="0"/>
        <strike val="0"/>
        <condense val="0"/>
        <extend val="0"/>
        <outline val="0"/>
        <shadow val="0"/>
        <u val="none"/>
        <vertAlign val="baseline"/>
        <sz val="9"/>
        <color auto="1"/>
        <name val="Lato"/>
        <family val="2"/>
        <scheme val="none"/>
      </font>
      <numFmt numFmtId="164" formatCode="dd\.mm\.yy;@"/>
    </dxf>
    <dxf>
      <font>
        <b val="0"/>
        <i val="0"/>
        <strike val="0"/>
        <condense val="0"/>
        <extend val="0"/>
        <outline val="0"/>
        <shadow val="0"/>
        <u val="none"/>
        <vertAlign val="baseline"/>
        <sz val="9"/>
        <color auto="1"/>
        <name val="Lato"/>
        <family val="2"/>
        <scheme val="none"/>
      </font>
      <numFmt numFmtId="164" formatCode="dd\.mm\.yy;@"/>
    </dxf>
    <dxf>
      <font>
        <b val="0"/>
        <i val="0"/>
        <strike val="0"/>
        <condense val="0"/>
        <extend val="0"/>
        <outline val="0"/>
        <shadow val="0"/>
        <u val="none"/>
        <vertAlign val="baseline"/>
        <sz val="9"/>
        <color auto="1"/>
        <name val="Lato"/>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numFmt numFmtId="164" formatCode="dd\.mm\.yy;@"/>
      <alignment horizontal="center" vertical="bottom" textRotation="0" wrapText="0" indent="0" justifyLastLine="0" shrinkToFit="0" readingOrder="0"/>
    </dxf>
    <dxf>
      <font>
        <b val="0"/>
        <i val="0"/>
        <strike val="0"/>
        <condense val="0"/>
        <extend val="0"/>
        <outline val="0"/>
        <shadow val="0"/>
        <u val="none"/>
        <vertAlign val="baseline"/>
        <sz val="9"/>
        <color auto="1"/>
        <name val="Lato"/>
        <family val="2"/>
        <scheme val="none"/>
      </font>
    </dxf>
    <dxf>
      <font>
        <b val="0"/>
        <i val="0"/>
        <strike val="0"/>
        <condense val="0"/>
        <extend val="0"/>
        <outline val="0"/>
        <shadow val="0"/>
        <u val="none"/>
        <vertAlign val="baseline"/>
        <sz val="9"/>
        <color auto="1"/>
        <name val="Lato"/>
        <family val="2"/>
        <scheme val="none"/>
      </font>
    </dxf>
    <dxf>
      <font>
        <b val="0"/>
        <i val="0"/>
        <strike val="0"/>
        <condense val="0"/>
        <extend val="0"/>
        <outline val="0"/>
        <shadow val="0"/>
        <u val="none"/>
        <vertAlign val="baseline"/>
        <sz val="9"/>
        <color auto="1"/>
        <name val="Lato"/>
        <family val="2"/>
        <scheme val="none"/>
      </font>
    </dxf>
    <dxf>
      <font>
        <b val="0"/>
        <i val="0"/>
        <strike val="0"/>
        <condense val="0"/>
        <extend val="0"/>
        <outline val="0"/>
        <shadow val="0"/>
        <u val="none"/>
        <vertAlign val="baseline"/>
        <sz val="9"/>
        <color auto="1"/>
        <name val="Lato"/>
        <family val="2"/>
        <scheme val="none"/>
      </font>
    </dxf>
    <dxf>
      <border outline="0">
        <top style="thin">
          <color indexed="64"/>
        </top>
      </border>
    </dxf>
    <dxf>
      <font>
        <b val="0"/>
        <i val="0"/>
        <strike val="0"/>
        <condense val="0"/>
        <extend val="0"/>
        <outline val="0"/>
        <shadow val="0"/>
        <u val="none"/>
        <vertAlign val="baseline"/>
        <sz val="9"/>
        <color auto="1"/>
        <name val="Lato"/>
        <family val="2"/>
        <scheme val="none"/>
      </font>
    </dxf>
    <dxf>
      <border outline="0">
        <bottom style="thin">
          <color indexed="64"/>
        </bottom>
      </border>
    </dxf>
    <dxf>
      <font>
        <b/>
        <i val="0"/>
        <strike val="0"/>
        <condense val="0"/>
        <extend val="0"/>
        <outline val="0"/>
        <shadow val="0"/>
        <u val="none"/>
        <vertAlign val="baseline"/>
        <sz val="12"/>
        <color auto="1"/>
        <name val="Lato"/>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solid">
          <fgColor theme="8" tint="0.59999389629810485"/>
          <bgColor theme="8" tint="0.59999389629810485"/>
        </patternFill>
      </fill>
    </dxf>
    <dxf>
      <fill>
        <patternFill patternType="solid">
          <fgColor theme="8" tint="0.59999389629810485"/>
          <bgColor theme="8" tint="0.79998168889431442"/>
        </patternFill>
      </fill>
    </dxf>
    <dxf>
      <font>
        <b/>
        <color theme="0"/>
      </font>
      <fill>
        <patternFill patternType="solid">
          <fgColor theme="8"/>
          <bgColor theme="8"/>
        </patternFill>
      </fill>
    </dxf>
    <dxf>
      <font>
        <b/>
        <color theme="0"/>
      </font>
      <fill>
        <patternFill patternType="solid">
          <fgColor theme="8"/>
          <bgColor theme="8"/>
        </patternFill>
      </fill>
    </dxf>
    <dxf>
      <font>
        <b/>
        <color theme="0"/>
      </font>
      <fill>
        <patternFill patternType="solid">
          <fgColor theme="8"/>
          <bgColor theme="8"/>
        </patternFill>
      </fill>
      <border>
        <top style="thick">
          <color theme="0"/>
        </top>
      </border>
    </dxf>
    <dxf>
      <font>
        <b/>
        <color theme="0"/>
      </font>
      <fill>
        <patternFill patternType="solid">
          <fgColor theme="8"/>
          <bgColor theme="8"/>
        </patternFill>
      </fill>
      <border>
        <bottom style="thick">
          <color theme="0"/>
        </bottom>
      </border>
    </dxf>
    <dxf>
      <font>
        <color theme="1"/>
      </font>
      <fill>
        <patternFill patternType="solid">
          <fgColor theme="0" tint="-4.9989318521683403E-2"/>
          <bgColor theme="0" tint="-4.9989318521683403E-2"/>
        </patternFill>
      </fill>
      <border>
        <vertical style="thin">
          <color theme="0"/>
        </vertical>
        <horizontal style="thin">
          <color theme="0"/>
        </horizontal>
      </border>
    </dxf>
  </dxfs>
  <tableStyles count="1" defaultTableStyle="TableStyleMedium2" defaultPivotStyle="PivotStyleLight16">
    <tableStyle name="TableStyleMedium13 2" pivot="0" count="7" xr9:uid="{1CE6D17E-7675-4D64-B2AC-FA2225FA70D5}">
      <tableStyleElement type="wholeTable" dxfId="31"/>
      <tableStyleElement type="headerRow" dxfId="30"/>
      <tableStyleElement type="totalRow" dxfId="29"/>
      <tableStyleElement type="firstColumn" dxfId="28"/>
      <tableStyleElement type="lastColumn" dxfId="27"/>
      <tableStyleElement type="firstRowStripe" dxfId="26"/>
      <tableStyleElement type="firstColumnStripe" dxfId="25"/>
    </tableStyle>
  </tableStyles>
  <colors>
    <mruColors>
      <color rgb="FF009688"/>
      <color rgb="FFF6F6F6"/>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[KPI_Dashboard_FINAL.xlsm]People Database!PivotTable2</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r>
              <a:rPr lang="en-US" sz="1200" b="1"/>
              <a:t>EMPLOYEES BY GENDER</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009688"/>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'People Database'!$D$23</c:f>
              <c:strCache>
                <c:ptCount val="1"/>
                <c:pt idx="0">
                  <c:v>Total</c:v>
                </c:pt>
              </c:strCache>
            </c:strRef>
          </c:tx>
          <c:explosion val="3"/>
          <c:dPt>
            <c:idx val="0"/>
            <c:bubble3D val="0"/>
            <c:spPr>
              <a:solidFill>
                <a:srgbClr val="009688"/>
              </a:solidFill>
              <a:ln>
                <a:noFill/>
              </a:ln>
              <a:effectLst/>
            </c:spPr>
            <c:extLst>
              <c:ext xmlns:c16="http://schemas.microsoft.com/office/drawing/2014/chart" uri="{C3380CC4-5D6E-409C-BE32-E72D297353CC}">
                <c16:uniqueId val="{00000001-C20A-4FA0-9EB6-B48187B21227}"/>
              </c:ext>
            </c:extLst>
          </c:dPt>
          <c:dPt>
            <c:idx val="1"/>
            <c:bubble3D val="0"/>
            <c:spPr>
              <a:solidFill>
                <a:schemeClr val="accent2"/>
              </a:solidFill>
              <a:ln>
                <a:noFill/>
              </a:ln>
              <a:effectLst/>
            </c:spPr>
            <c:extLst>
              <c:ext xmlns:c16="http://schemas.microsoft.com/office/drawing/2014/chart" uri="{C3380CC4-5D6E-409C-BE32-E72D297353CC}">
                <c16:uniqueId val="{00000003-A5EC-4B56-9DC8-7351B425727C}"/>
              </c:ext>
            </c:extLst>
          </c:dPt>
          <c:dPt>
            <c:idx val="2"/>
            <c:bubble3D val="0"/>
            <c:spPr>
              <a:solidFill>
                <a:schemeClr val="accent3"/>
              </a:solidFill>
              <a:ln>
                <a:noFill/>
              </a:ln>
              <a:effectLst/>
            </c:spPr>
            <c:extLst>
              <c:ext xmlns:c16="http://schemas.microsoft.com/office/drawing/2014/chart" uri="{C3380CC4-5D6E-409C-BE32-E72D297353CC}">
                <c16:uniqueId val="{00000005-A5EC-4B56-9DC8-7351B425727C}"/>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'People Database'!$C$24:$C$26</c:f>
              <c:strCache>
                <c:ptCount val="2"/>
                <c:pt idx="0">
                  <c:v>Female</c:v>
                </c:pt>
                <c:pt idx="1">
                  <c:v>Male</c:v>
                </c:pt>
              </c:strCache>
            </c:strRef>
          </c:cat>
          <c:val>
            <c:numRef>
              <c:f>'People Database'!$D$24:$D$26</c:f>
              <c:numCache>
                <c:formatCode>General</c:formatCode>
                <c:ptCount val="2"/>
                <c:pt idx="0">
                  <c:v>36</c:v>
                </c:pt>
                <c:pt idx="1">
                  <c:v>26</c:v>
                </c:pt>
              </c:numCache>
            </c:numRef>
          </c:val>
          <c:extLst>
            <c:ext xmlns:c16="http://schemas.microsoft.com/office/drawing/2014/chart" uri="{C3380CC4-5D6E-409C-BE32-E72D297353CC}">
              <c16:uniqueId val="{00000000-C20A-4FA0-9EB6-B48187B2122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6F6F6"/>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[KPI_Dashboard_FINAL.xlsm]People Database!PivotTable4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r>
              <a:rPr lang="en-US" b="1"/>
              <a:t>EMPLOYEES BY LOCATION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title>
    <c:autoTitleDeleted val="0"/>
    <c:pivotFmts>
      <c:pivotFmt>
        <c:idx val="0"/>
        <c:spPr>
          <a:solidFill>
            <a:srgbClr val="00968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'People Database'!$J$18</c:f>
              <c:strCache>
                <c:ptCount val="1"/>
                <c:pt idx="0">
                  <c:v>Total</c:v>
                </c:pt>
              </c:strCache>
            </c:strRef>
          </c:tx>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'People Database'!$I$19:$I$25</c:f>
              <c:strCache>
                <c:ptCount val="6"/>
                <c:pt idx="0">
                  <c:v>Austin</c:v>
                </c:pt>
                <c:pt idx="1">
                  <c:v>Denver</c:v>
                </c:pt>
                <c:pt idx="2">
                  <c:v>Miami</c:v>
                </c:pt>
                <c:pt idx="3">
                  <c:v>New York</c:v>
                </c:pt>
                <c:pt idx="4">
                  <c:v>San Diego</c:v>
                </c:pt>
                <c:pt idx="5">
                  <c:v>Seattle</c:v>
                </c:pt>
              </c:strCache>
            </c:strRef>
          </c:cat>
          <c:val>
            <c:numRef>
              <c:f>'People Database'!$J$19:$J$25</c:f>
              <c:numCache>
                <c:formatCode>General</c:formatCode>
                <c:ptCount val="6"/>
                <c:pt idx="0">
                  <c:v>12</c:v>
                </c:pt>
                <c:pt idx="1">
                  <c:v>7</c:v>
                </c:pt>
                <c:pt idx="2">
                  <c:v>15</c:v>
                </c:pt>
                <c:pt idx="3">
                  <c:v>8</c:v>
                </c:pt>
                <c:pt idx="4">
                  <c:v>10</c:v>
                </c:pt>
                <c:pt idx="5">
                  <c:v>10</c:v>
                </c:pt>
              </c:numCache>
            </c:numRef>
          </c:val>
          <c:extLst>
            <c:ext xmlns:c16="http://schemas.microsoft.com/office/drawing/2014/chart" uri="{C3380CC4-5D6E-409C-BE32-E72D297353CC}">
              <c16:uniqueId val="{00000000-A985-4064-8A68-E03EE68C98D2}"/>
            </c:ext>
          </c:extLst>
        </c:ser>
        <c:dLbls>
          <c:showLegendKey val="0"/>
          <c:showVal val="0"/>
          <c:showCatName val="0"/>
          <c:showSerName val="0"/>
          <c:showPercent val="0"/>
          <c:showBubbleSize val="0"/>
        </c:dLbls>
        <c:gapWidth val="219"/>
        <c:axId val="750833744"/>
        <c:axId val="336484480"/>
      </c:barChart>
      <c:catAx>
        <c:axId val="750833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336484480"/>
        <c:crosses val="autoZero"/>
        <c:auto val="1"/>
        <c:lblAlgn val="ctr"/>
        <c:lblOffset val="100"/>
        <c:noMultiLvlLbl val="0"/>
      </c:catAx>
      <c:valAx>
        <c:axId val="33648448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50833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6F6F6"/>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[KPI_Dashboard_FINAL.xlsm]People Database!PivotTable5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r>
              <a:rPr lang="en-US" b="1"/>
              <a:t>TOTAL HIRING BY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title>
    <c:autoTitleDeleted val="0"/>
    <c:pivotFmts>
      <c:pivotFmt>
        <c:idx val="0"/>
        <c:spPr>
          <a:solidFill>
            <a:srgbClr val="00968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'People Database'!$Q$7</c:f>
              <c:strCache>
                <c:ptCount val="1"/>
                <c:pt idx="0">
                  <c:v>Total</c:v>
                </c:pt>
              </c:strCache>
            </c:strRef>
          </c:tx>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'People Database'!$P$8:$P$20</c:f>
              <c:strCache>
                <c:ptCount val="12"/>
                <c:pt idx="0">
                  <c:v>2009</c:v>
                </c:pt>
                <c:pt idx="1">
                  <c:v>2010</c:v>
                </c:pt>
                <c:pt idx="2">
                  <c:v>2011</c:v>
                </c:pt>
                <c:pt idx="3">
                  <c:v>2012</c:v>
                </c:pt>
                <c:pt idx="4">
                  <c:v>2013</c:v>
                </c:pt>
                <c:pt idx="5">
                  <c:v>2014</c:v>
                </c:pt>
                <c:pt idx="6">
                  <c:v>2015</c:v>
                </c:pt>
                <c:pt idx="7">
                  <c:v>2016</c:v>
                </c:pt>
                <c:pt idx="8">
                  <c:v>2017</c:v>
                </c:pt>
                <c:pt idx="9">
                  <c:v>2018</c:v>
                </c:pt>
                <c:pt idx="10">
                  <c:v>2019</c:v>
                </c:pt>
                <c:pt idx="11">
                  <c:v>2020</c:v>
                </c:pt>
              </c:strCache>
            </c:strRef>
          </c:cat>
          <c:val>
            <c:numRef>
              <c:f>'People Database'!$Q$8:$Q$20</c:f>
              <c:numCache>
                <c:formatCode>General</c:formatCode>
                <c:ptCount val="12"/>
                <c:pt idx="0">
                  <c:v>1</c:v>
                </c:pt>
                <c:pt idx="1">
                  <c:v>1</c:v>
                </c:pt>
                <c:pt idx="2">
                  <c:v>3</c:v>
                </c:pt>
                <c:pt idx="3">
                  <c:v>4</c:v>
                </c:pt>
                <c:pt idx="4">
                  <c:v>13</c:v>
                </c:pt>
                <c:pt idx="5">
                  <c:v>11</c:v>
                </c:pt>
                <c:pt idx="6">
                  <c:v>6</c:v>
                </c:pt>
                <c:pt idx="7">
                  <c:v>7</c:v>
                </c:pt>
                <c:pt idx="8">
                  <c:v>10</c:v>
                </c:pt>
                <c:pt idx="9">
                  <c:v>3</c:v>
                </c:pt>
                <c:pt idx="10">
                  <c:v>2</c:v>
                </c:pt>
                <c:pt idx="11">
                  <c:v>1</c:v>
                </c:pt>
              </c:numCache>
            </c:numRef>
          </c:val>
          <c:extLst>
            <c:ext xmlns:c16="http://schemas.microsoft.com/office/drawing/2014/chart" uri="{C3380CC4-5D6E-409C-BE32-E72D297353CC}">
              <c16:uniqueId val="{00000000-4FC7-4355-A372-B9532B4885A9}"/>
            </c:ext>
          </c:extLst>
        </c:ser>
        <c:dLbls>
          <c:showLegendKey val="0"/>
          <c:showVal val="0"/>
          <c:showCatName val="0"/>
          <c:showSerName val="0"/>
          <c:showPercent val="0"/>
          <c:showBubbleSize val="0"/>
        </c:dLbls>
        <c:gapWidth val="219"/>
        <c:overlap val="-27"/>
        <c:axId val="609551168"/>
        <c:axId val="607537616"/>
      </c:barChart>
      <c:catAx>
        <c:axId val="60955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607537616"/>
        <c:crosses val="autoZero"/>
        <c:auto val="1"/>
        <c:lblAlgn val="ctr"/>
        <c:lblOffset val="100"/>
        <c:noMultiLvlLbl val="0"/>
      </c:catAx>
      <c:valAx>
        <c:axId val="607537616"/>
        <c:scaling>
          <c:orientation val="minMax"/>
        </c:scaling>
        <c:delete val="1"/>
        <c:axPos val="l"/>
        <c:numFmt formatCode="General" sourceLinked="1"/>
        <c:majorTickMark val="none"/>
        <c:minorTickMark val="none"/>
        <c:tickLblPos val="nextTo"/>
        <c:crossAx val="60955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6F6F6"/>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[KPI_Dashboard_FINAL.xlsm]People Database!PivotTable6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r>
              <a:rPr lang="en-US" b="1"/>
              <a:t>EMPOYEES BY DEPARTMENT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009688"/>
          </a:solidFill>
          <a:ln>
            <a:noFill/>
          </a:ln>
          <a:effectLst/>
        </c:spPr>
      </c:pivotFmt>
      <c:pivotFmt>
        <c:idx val="2"/>
        <c:spPr>
          <a:solidFill>
            <a:schemeClr val="bg1">
              <a:lumMod val="85000"/>
            </a:schemeClr>
          </a:solidFill>
          <a:ln>
            <a:noFill/>
          </a:ln>
          <a:effectLst/>
        </c:spPr>
      </c:pivotFmt>
      <c:pivotFmt>
        <c:idx val="3"/>
        <c:spPr>
          <a:solidFill>
            <a:schemeClr val="accent2"/>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pieChart>
        <c:varyColors val="1"/>
        <c:ser>
          <c:idx val="0"/>
          <c:order val="0"/>
          <c:tx>
            <c:strRef>
              <c:f>'People Database'!$T$7</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DC-4BF0-8C00-D8DD6AFC0D37}"/>
              </c:ext>
            </c:extLst>
          </c:dPt>
          <c:dPt>
            <c:idx val="1"/>
            <c:bubble3D val="0"/>
            <c:spPr>
              <a:solidFill>
                <a:schemeClr val="accent2"/>
              </a:solidFill>
              <a:ln>
                <a:noFill/>
              </a:ln>
              <a:effectLst/>
            </c:spPr>
            <c:extLst>
              <c:ext xmlns:c16="http://schemas.microsoft.com/office/drawing/2014/chart" uri="{C3380CC4-5D6E-409C-BE32-E72D297353CC}">
                <c16:uniqueId val="{00000003-4EB3-443C-81D2-A8AE429ED76C}"/>
              </c:ext>
            </c:extLst>
          </c:dPt>
          <c:dPt>
            <c:idx val="2"/>
            <c:bubble3D val="0"/>
            <c:spPr>
              <a:solidFill>
                <a:schemeClr val="accent3"/>
              </a:solidFill>
              <a:ln>
                <a:noFill/>
              </a:ln>
              <a:effectLst/>
            </c:spPr>
            <c:extLst>
              <c:ext xmlns:c16="http://schemas.microsoft.com/office/drawing/2014/chart" uri="{C3380CC4-5D6E-409C-BE32-E72D297353CC}">
                <c16:uniqueId val="{00000005-4EB3-443C-81D2-A8AE429ED76C}"/>
              </c:ext>
            </c:extLst>
          </c:dPt>
          <c:dPt>
            <c:idx val="3"/>
            <c:bubble3D val="0"/>
            <c:spPr>
              <a:solidFill>
                <a:schemeClr val="accent4"/>
              </a:solidFill>
              <a:ln>
                <a:noFill/>
              </a:ln>
              <a:effectLst/>
            </c:spPr>
            <c:extLst>
              <c:ext xmlns:c16="http://schemas.microsoft.com/office/drawing/2014/chart" uri="{C3380CC4-5D6E-409C-BE32-E72D297353CC}">
                <c16:uniqueId val="{00000003-B4DC-4BF0-8C00-D8DD6AFC0D37}"/>
              </c:ext>
            </c:extLst>
          </c:dPt>
          <c:dPt>
            <c:idx val="4"/>
            <c:bubble3D val="0"/>
            <c:spPr>
              <a:solidFill>
                <a:schemeClr val="accent5"/>
              </a:solidFill>
              <a:ln>
                <a:noFill/>
              </a:ln>
              <a:effectLst/>
            </c:spPr>
            <c:extLst>
              <c:ext xmlns:c16="http://schemas.microsoft.com/office/drawing/2014/chart" uri="{C3380CC4-5D6E-409C-BE32-E72D297353CC}">
                <c16:uniqueId val="{00000002-B4DC-4BF0-8C00-D8DD6AFC0D37}"/>
              </c:ext>
            </c:extLst>
          </c:dPt>
          <c:dPt>
            <c:idx val="5"/>
            <c:bubble3D val="0"/>
            <c:spPr>
              <a:solidFill>
                <a:schemeClr val="accent6"/>
              </a:solidFill>
              <a:ln>
                <a:noFill/>
              </a:ln>
              <a:effectLst/>
            </c:spPr>
            <c:extLst>
              <c:ext xmlns:c16="http://schemas.microsoft.com/office/drawing/2014/chart" uri="{C3380CC4-5D6E-409C-BE32-E72D297353CC}">
                <c16:uniqueId val="{0000000B-4EB3-443C-81D2-A8AE429ED76C}"/>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4EB3-443C-81D2-A8AE429ED76C}"/>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3E0-47A5-8A18-7A875ABB502E}"/>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F3E0-47A5-8A18-7A875ABB502E}"/>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F3E0-47A5-8A18-7A875ABB502E}"/>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F3E0-47A5-8A18-7A875ABB502E}"/>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F3E0-47A5-8A18-7A875ABB502E}"/>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F3E0-47A5-8A18-7A875ABB502E}"/>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F3E0-47A5-8A18-7A875ABB502E}"/>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'People Database'!$S$8:$S$21</c:f>
              <c:strCache>
                <c:ptCount val="13"/>
                <c:pt idx="0">
                  <c:v>Marketing</c:v>
                </c:pt>
                <c:pt idx="1">
                  <c:v>Sales</c:v>
                </c:pt>
                <c:pt idx="2">
                  <c:v>Administrative</c:v>
                </c:pt>
                <c:pt idx="3">
                  <c:v>IT</c:v>
                </c:pt>
                <c:pt idx="4">
                  <c:v>Accounting and Finance</c:v>
                </c:pt>
                <c:pt idx="5">
                  <c:v>Production</c:v>
                </c:pt>
                <c:pt idx="6">
                  <c:v>Human Resources</c:v>
                </c:pt>
                <c:pt idx="7">
                  <c:v>Legal</c:v>
                </c:pt>
                <c:pt idx="8">
                  <c:v>Logistics</c:v>
                </c:pt>
                <c:pt idx="9">
                  <c:v>Purchase</c:v>
                </c:pt>
                <c:pt idx="10">
                  <c:v>Operations</c:v>
                </c:pt>
                <c:pt idx="11">
                  <c:v>Research</c:v>
                </c:pt>
                <c:pt idx="12">
                  <c:v>Customer Service</c:v>
                </c:pt>
              </c:strCache>
            </c:strRef>
          </c:cat>
          <c:val>
            <c:numRef>
              <c:f>'People Database'!$T$8:$T$21</c:f>
              <c:numCache>
                <c:formatCode>General</c:formatCode>
                <c:ptCount val="13"/>
                <c:pt idx="0">
                  <c:v>8</c:v>
                </c:pt>
                <c:pt idx="1">
                  <c:v>6</c:v>
                </c:pt>
                <c:pt idx="2">
                  <c:v>8</c:v>
                </c:pt>
                <c:pt idx="3">
                  <c:v>10</c:v>
                </c:pt>
                <c:pt idx="4">
                  <c:v>6</c:v>
                </c:pt>
                <c:pt idx="5">
                  <c:v>3</c:v>
                </c:pt>
                <c:pt idx="6">
                  <c:v>3</c:v>
                </c:pt>
                <c:pt idx="7">
                  <c:v>2</c:v>
                </c:pt>
                <c:pt idx="8">
                  <c:v>3</c:v>
                </c:pt>
                <c:pt idx="9">
                  <c:v>3</c:v>
                </c:pt>
                <c:pt idx="10">
                  <c:v>3</c:v>
                </c:pt>
                <c:pt idx="11">
                  <c:v>3</c:v>
                </c:pt>
                <c:pt idx="12">
                  <c:v>4</c:v>
                </c:pt>
              </c:numCache>
            </c:numRef>
          </c:val>
          <c:extLst>
            <c:ext xmlns:c16="http://schemas.microsoft.com/office/drawing/2014/chart" uri="{C3380CC4-5D6E-409C-BE32-E72D297353CC}">
              <c16:uniqueId val="{00000000-B4DC-4BF0-8C00-D8DD6AFC0D3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6F6F6"/>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[KPI_Dashboard_FINAL.xlsm]People Database!PivotTable8</c:name>
    <c:fmtId val="0"/>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r>
              <a:rPr lang="en-US" sz="1200" b="1"/>
              <a:t>EMPLOYEES BY HIRE SOURCE</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009688"/>
          </a:solidFill>
          <a:ln>
            <a:noFill/>
          </a:ln>
          <a:effectLst/>
        </c:spPr>
      </c:pivotFmt>
      <c:pivotFmt>
        <c:idx val="2"/>
        <c:spPr>
          <a:solidFill>
            <a:schemeClr val="bg1">
              <a:lumMod val="75000"/>
            </a:schemeClr>
          </a:solidFill>
          <a:ln>
            <a:noFill/>
          </a:ln>
          <a:effectLst/>
        </c:spPr>
      </c:pivotFmt>
      <c:pivotFmt>
        <c:idx val="3"/>
        <c:spPr>
          <a:solidFill>
            <a:schemeClr val="accent1"/>
          </a:solidFill>
          <a:ln>
            <a:noFill/>
          </a:ln>
          <a:effectLst/>
        </c:spPr>
      </c:pivotFmt>
      <c:pivotFmt>
        <c:idx val="4"/>
        <c:spPr>
          <a:solidFill>
            <a:schemeClr val="accent5"/>
          </a:solidFill>
          <a:ln>
            <a:noFill/>
          </a:ln>
          <a:effectLst/>
        </c:spPr>
      </c:pivotFmt>
      <c:pivotFmt>
        <c:idx val="5"/>
        <c:spPr>
          <a:solidFill>
            <a:schemeClr val="accent6">
              <a:lumMod val="60000"/>
              <a:lumOff val="40000"/>
            </a:schemeClr>
          </a:solidFill>
          <a:ln>
            <a:noFill/>
          </a:ln>
          <a:effectLst/>
        </c:spPr>
      </c:pivotFmt>
      <c:pivotFmt>
        <c:idx val="6"/>
        <c:spPr>
          <a:solidFill>
            <a:schemeClr val="tx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pieChart>
        <c:varyColors val="1"/>
        <c:ser>
          <c:idx val="0"/>
          <c:order val="0"/>
          <c:tx>
            <c:strRef>
              <c:f>'People Database'!$E$43</c:f>
              <c:strCache>
                <c:ptCount val="1"/>
                <c:pt idx="0">
                  <c:v>Total</c:v>
                </c:pt>
              </c:strCache>
            </c:strRef>
          </c:tx>
          <c:explosion val="4"/>
          <c:dPt>
            <c:idx val="0"/>
            <c:bubble3D val="0"/>
            <c:spPr>
              <a:solidFill>
                <a:schemeClr val="bg1">
                  <a:lumMod val="75000"/>
                </a:schemeClr>
              </a:solidFill>
              <a:ln>
                <a:noFill/>
              </a:ln>
              <a:effectLst/>
            </c:spPr>
            <c:extLst>
              <c:ext xmlns:c16="http://schemas.microsoft.com/office/drawing/2014/chart" uri="{C3380CC4-5D6E-409C-BE32-E72D297353CC}">
                <c16:uniqueId val="{00000001-2E62-4BA2-9611-C80816FB9777}"/>
              </c:ext>
            </c:extLst>
          </c:dPt>
          <c:dPt>
            <c:idx val="1"/>
            <c:bubble3D val="0"/>
            <c:spPr>
              <a:solidFill>
                <a:schemeClr val="accent2"/>
              </a:solidFill>
              <a:ln>
                <a:noFill/>
              </a:ln>
              <a:effectLst/>
            </c:spPr>
            <c:extLst>
              <c:ext xmlns:c16="http://schemas.microsoft.com/office/drawing/2014/chart" uri="{C3380CC4-5D6E-409C-BE32-E72D297353CC}">
                <c16:uniqueId val="{00000002-2E62-4BA2-9611-C80816FB9777}"/>
              </c:ext>
            </c:extLst>
          </c:dPt>
          <c:dPt>
            <c:idx val="2"/>
            <c:bubble3D val="0"/>
            <c:spPr>
              <a:solidFill>
                <a:schemeClr val="accent5"/>
              </a:solidFill>
              <a:ln>
                <a:noFill/>
              </a:ln>
              <a:effectLst/>
            </c:spPr>
            <c:extLst>
              <c:ext xmlns:c16="http://schemas.microsoft.com/office/drawing/2014/chart" uri="{C3380CC4-5D6E-409C-BE32-E72D297353CC}">
                <c16:uniqueId val="{00000003-2E62-4BA2-9611-C80816FB9777}"/>
              </c:ext>
            </c:extLst>
          </c:dPt>
          <c:dPt>
            <c:idx val="3"/>
            <c:bubble3D val="0"/>
            <c:spPr>
              <a:solidFill>
                <a:schemeClr val="accent6">
                  <a:lumMod val="60000"/>
                  <a:lumOff val="40000"/>
                </a:schemeClr>
              </a:solidFill>
              <a:ln>
                <a:noFill/>
              </a:ln>
              <a:effectLst/>
            </c:spPr>
            <c:extLst>
              <c:ext xmlns:c16="http://schemas.microsoft.com/office/drawing/2014/chart" uri="{C3380CC4-5D6E-409C-BE32-E72D297353CC}">
                <c16:uniqueId val="{00000004-2E62-4BA2-9611-C80816FB9777}"/>
              </c:ext>
            </c:extLst>
          </c:dPt>
          <c:dPt>
            <c:idx val="4"/>
            <c:bubble3D val="0"/>
            <c:spPr>
              <a:solidFill>
                <a:schemeClr val="tx1"/>
              </a:solidFill>
              <a:ln>
                <a:noFill/>
              </a:ln>
              <a:effectLst/>
            </c:spPr>
            <c:extLst>
              <c:ext xmlns:c16="http://schemas.microsoft.com/office/drawing/2014/chart" uri="{C3380CC4-5D6E-409C-BE32-E72D297353CC}">
                <c16:uniqueId val="{00000005-2E62-4BA2-9611-C80816FB9777}"/>
              </c:ext>
            </c:extLst>
          </c:dPt>
          <c:dPt>
            <c:idx val="5"/>
            <c:bubble3D val="0"/>
            <c:spPr>
              <a:solidFill>
                <a:schemeClr val="accent6"/>
              </a:solidFill>
              <a:ln>
                <a:noFill/>
              </a:ln>
              <a:effectLst/>
            </c:spPr>
            <c:extLst>
              <c:ext xmlns:c16="http://schemas.microsoft.com/office/drawing/2014/chart" uri="{C3380CC4-5D6E-409C-BE32-E72D297353CC}">
                <c16:uniqueId val="{00000006-2E62-4BA2-9611-C80816FB9777}"/>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6C6E-40D1-AF69-4A3BEA5D24A3}"/>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'People Database'!$D$44:$D$51</c:f>
              <c:strCache>
                <c:ptCount val="7"/>
                <c:pt idx="0">
                  <c:v>Internal Referral</c:v>
                </c:pt>
                <c:pt idx="1">
                  <c:v>Job Boards</c:v>
                </c:pt>
                <c:pt idx="2">
                  <c:v>Online Portal</c:v>
                </c:pt>
                <c:pt idx="3">
                  <c:v>Organic</c:v>
                </c:pt>
                <c:pt idx="4">
                  <c:v>Recruiting Agency</c:v>
                </c:pt>
                <c:pt idx="5">
                  <c:v>(blank)</c:v>
                </c:pt>
                <c:pt idx="6">
                  <c:v>Career Fairs</c:v>
                </c:pt>
              </c:strCache>
            </c:strRef>
          </c:cat>
          <c:val>
            <c:numRef>
              <c:f>'People Database'!$E$44:$E$51</c:f>
              <c:numCache>
                <c:formatCode>General</c:formatCode>
                <c:ptCount val="7"/>
                <c:pt idx="0">
                  <c:v>11</c:v>
                </c:pt>
                <c:pt idx="1">
                  <c:v>10</c:v>
                </c:pt>
                <c:pt idx="2">
                  <c:v>7</c:v>
                </c:pt>
                <c:pt idx="3">
                  <c:v>9</c:v>
                </c:pt>
                <c:pt idx="4">
                  <c:v>15</c:v>
                </c:pt>
                <c:pt idx="6">
                  <c:v>10</c:v>
                </c:pt>
              </c:numCache>
            </c:numRef>
          </c:val>
          <c:extLst>
            <c:ext xmlns:c16="http://schemas.microsoft.com/office/drawing/2014/chart" uri="{C3380CC4-5D6E-409C-BE32-E72D297353CC}">
              <c16:uniqueId val="{00000000-2E62-4BA2-9611-C80816FB977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6F6F6"/>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Data'!$E$33:$P$33</c:f>
              <c:numCache>
                <c:formatCode>0</c:formatCode>
                <c:ptCount val="12"/>
                <c:pt idx="0">
                  <c:v>26</c:v>
                </c:pt>
                <c:pt idx="1">
                  <c:v>27</c:v>
                </c:pt>
                <c:pt idx="2">
                  <c:v>27</c:v>
                </c:pt>
                <c:pt idx="3">
                  <c:v>26</c:v>
                </c:pt>
                <c:pt idx="4">
                  <c:v>26</c:v>
                </c:pt>
                <c:pt idx="5">
                  <c:v>26</c:v>
                </c:pt>
                <c:pt idx="6">
                  <c:v>26</c:v>
                </c:pt>
                <c:pt idx="7">
                  <c:v>25</c:v>
                </c:pt>
                <c:pt idx="8">
                  <c:v>25</c:v>
                </c:pt>
                <c:pt idx="9">
                  <c:v>25</c:v>
                </c:pt>
                <c:pt idx="10">
                  <c:v>26</c:v>
                </c:pt>
                <c:pt idx="11">
                  <c:v>26</c:v>
                </c:pt>
              </c:numCache>
            </c:numRef>
          </c:val>
          <c:extLst>
            <c:ext xmlns:c16="http://schemas.microsoft.com/office/drawing/2014/chart" uri="{C3380CC4-5D6E-409C-BE32-E72D297353CC}">
              <c16:uniqueId val="{00000000-23F9-494E-9F4E-2B1A07A3B0E5}"/>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Data'!$E$34:$P$34</c:f>
              <c:numCache>
                <c:formatCode>0</c:formatCode>
                <c:ptCount val="12"/>
                <c:pt idx="0">
                  <c:v>36</c:v>
                </c:pt>
                <c:pt idx="1">
                  <c:v>35</c:v>
                </c:pt>
                <c:pt idx="2">
                  <c:v>33</c:v>
                </c:pt>
                <c:pt idx="3">
                  <c:v>30</c:v>
                </c:pt>
                <c:pt idx="4">
                  <c:v>29</c:v>
                </c:pt>
                <c:pt idx="5">
                  <c:v>31</c:v>
                </c:pt>
                <c:pt idx="6">
                  <c:v>29</c:v>
                </c:pt>
                <c:pt idx="7">
                  <c:v>29</c:v>
                </c:pt>
                <c:pt idx="8">
                  <c:v>28</c:v>
                </c:pt>
                <c:pt idx="9">
                  <c:v>27</c:v>
                </c:pt>
                <c:pt idx="10">
                  <c:v>27</c:v>
                </c:pt>
                <c:pt idx="11">
                  <c:v>27</c:v>
                </c:pt>
              </c:numCache>
            </c:numRef>
          </c:val>
          <c:extLst>
            <c:ext xmlns:c16="http://schemas.microsoft.com/office/drawing/2014/chart" uri="{C3380CC4-5D6E-409C-BE32-E72D297353CC}">
              <c16:uniqueId val="{00000001-23F9-494E-9F4E-2B1A07A3B0E5}"/>
            </c:ext>
          </c:extLst>
        </c:ser>
        <c:dLbls>
          <c:showLegendKey val="0"/>
          <c:showVal val="0"/>
          <c:showCatName val="0"/>
          <c:showSerName val="0"/>
          <c:showPercent val="0"/>
          <c:showBubbleSize val="0"/>
        </c:dLbls>
        <c:gapWidth val="219"/>
        <c:overlap val="-27"/>
        <c:axId val="600439504"/>
        <c:axId val="597400304"/>
      </c:barChart>
      <c:catAx>
        <c:axId val="60043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597400304"/>
        <c:crosses val="autoZero"/>
        <c:auto val="1"/>
        <c:lblAlgn val="ctr"/>
        <c:lblOffset val="100"/>
        <c:noMultiLvlLbl val="0"/>
      </c:catAx>
      <c:valAx>
        <c:axId val="597400304"/>
        <c:scaling>
          <c:orientation val="minMax"/>
        </c:scaling>
        <c:delete val="1"/>
        <c:axPos val="l"/>
        <c:numFmt formatCode="0" sourceLinked="1"/>
        <c:majorTickMark val="none"/>
        <c:minorTickMark val="none"/>
        <c:tickLblPos val="nextTo"/>
        <c:crossAx val="600439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Data'!$E$37:$P$37</c:f>
              <c:numCache>
                <c:formatCode>0</c:formatCode>
                <c:ptCount val="12"/>
                <c:pt idx="0">
                  <c:v>0</c:v>
                </c:pt>
                <c:pt idx="1">
                  <c:v>1</c:v>
                </c:pt>
                <c:pt idx="2">
                  <c:v>0</c:v>
                </c:pt>
                <c:pt idx="3">
                  <c:v>0</c:v>
                </c:pt>
                <c:pt idx="4">
                  <c:v>0</c:v>
                </c:pt>
                <c:pt idx="5">
                  <c:v>0</c:v>
                </c:pt>
                <c:pt idx="6">
                  <c:v>0</c:v>
                </c:pt>
                <c:pt idx="7">
                  <c:v>0</c:v>
                </c:pt>
                <c:pt idx="8">
                  <c:v>0</c:v>
                </c:pt>
                <c:pt idx="9">
                  <c:v>0</c:v>
                </c:pt>
                <c:pt idx="10">
                  <c:v>1</c:v>
                </c:pt>
                <c:pt idx="11">
                  <c:v>0</c:v>
                </c:pt>
              </c:numCache>
            </c:numRef>
          </c:val>
          <c:extLst>
            <c:ext xmlns:c16="http://schemas.microsoft.com/office/drawing/2014/chart" uri="{C3380CC4-5D6E-409C-BE32-E72D297353CC}">
              <c16:uniqueId val="{00000000-B438-44FF-8A59-43F1E8F990C0}"/>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Data'!$E$38:$P$38</c:f>
              <c:numCache>
                <c:formatCode>0</c:formatCode>
                <c:ptCount val="12"/>
                <c:pt idx="0">
                  <c:v>0</c:v>
                </c:pt>
                <c:pt idx="1">
                  <c:v>0</c:v>
                </c:pt>
                <c:pt idx="2">
                  <c:v>0</c:v>
                </c:pt>
                <c:pt idx="3">
                  <c:v>0</c:v>
                </c:pt>
                <c:pt idx="4">
                  <c:v>0</c:v>
                </c:pt>
                <c:pt idx="5">
                  <c:v>2</c:v>
                </c:pt>
                <c:pt idx="6">
                  <c:v>0</c:v>
                </c:pt>
                <c:pt idx="7">
                  <c:v>0</c:v>
                </c:pt>
                <c:pt idx="8">
                  <c:v>0</c:v>
                </c:pt>
                <c:pt idx="9">
                  <c:v>0</c:v>
                </c:pt>
                <c:pt idx="10">
                  <c:v>1</c:v>
                </c:pt>
                <c:pt idx="11">
                  <c:v>0</c:v>
                </c:pt>
              </c:numCache>
            </c:numRef>
          </c:val>
          <c:extLst>
            <c:ext xmlns:c16="http://schemas.microsoft.com/office/drawing/2014/chart" uri="{C3380CC4-5D6E-409C-BE32-E72D297353CC}">
              <c16:uniqueId val="{00000001-B438-44FF-8A59-43F1E8F990C0}"/>
            </c:ext>
          </c:extLst>
        </c:ser>
        <c:dLbls>
          <c:showLegendKey val="0"/>
          <c:showVal val="0"/>
          <c:showCatName val="0"/>
          <c:showSerName val="0"/>
          <c:showPercent val="0"/>
          <c:showBubbleSize val="0"/>
        </c:dLbls>
        <c:gapWidth val="219"/>
        <c:overlap val="-27"/>
        <c:axId val="600439504"/>
        <c:axId val="597400304"/>
      </c:barChart>
      <c:catAx>
        <c:axId val="60043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597400304"/>
        <c:crosses val="autoZero"/>
        <c:auto val="1"/>
        <c:lblAlgn val="ctr"/>
        <c:lblOffset val="100"/>
        <c:noMultiLvlLbl val="0"/>
      </c:catAx>
      <c:valAx>
        <c:axId val="597400304"/>
        <c:scaling>
          <c:orientation val="minMax"/>
        </c:scaling>
        <c:delete val="1"/>
        <c:axPos val="l"/>
        <c:numFmt formatCode="0" sourceLinked="1"/>
        <c:majorTickMark val="none"/>
        <c:minorTickMark val="none"/>
        <c:tickLblPos val="nextTo"/>
        <c:crossAx val="600439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Data'!$E$41:$P$41</c:f>
              <c:numCache>
                <c:formatCode>0</c:formatCode>
                <c:ptCount val="12"/>
                <c:pt idx="0">
                  <c:v>1</c:v>
                </c:pt>
                <c:pt idx="1">
                  <c:v>0</c:v>
                </c:pt>
                <c:pt idx="2">
                  <c:v>0</c:v>
                </c:pt>
                <c:pt idx="3">
                  <c:v>1</c:v>
                </c:pt>
                <c:pt idx="4">
                  <c:v>0</c:v>
                </c:pt>
                <c:pt idx="5">
                  <c:v>0</c:v>
                </c:pt>
                <c:pt idx="6">
                  <c:v>0</c:v>
                </c:pt>
                <c:pt idx="7">
                  <c:v>1</c:v>
                </c:pt>
                <c:pt idx="8">
                  <c:v>0</c:v>
                </c:pt>
                <c:pt idx="9">
                  <c:v>0</c:v>
                </c:pt>
                <c:pt idx="10">
                  <c:v>0</c:v>
                </c:pt>
                <c:pt idx="11">
                  <c:v>0</c:v>
                </c:pt>
              </c:numCache>
            </c:numRef>
          </c:val>
          <c:extLst>
            <c:ext xmlns:c16="http://schemas.microsoft.com/office/drawing/2014/chart" uri="{C3380CC4-5D6E-409C-BE32-E72D297353CC}">
              <c16:uniqueId val="{00000000-2B3C-40F2-9669-2B9EA94F173B}"/>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Data'!$E$42:$P$42</c:f>
              <c:numCache>
                <c:formatCode>0</c:formatCode>
                <c:ptCount val="12"/>
                <c:pt idx="0">
                  <c:v>1</c:v>
                </c:pt>
                <c:pt idx="1">
                  <c:v>1</c:v>
                </c:pt>
                <c:pt idx="2">
                  <c:v>2</c:v>
                </c:pt>
                <c:pt idx="3">
                  <c:v>3</c:v>
                </c:pt>
                <c:pt idx="4">
                  <c:v>1</c:v>
                </c:pt>
                <c:pt idx="5">
                  <c:v>0</c:v>
                </c:pt>
                <c:pt idx="6">
                  <c:v>2</c:v>
                </c:pt>
                <c:pt idx="7">
                  <c:v>0</c:v>
                </c:pt>
                <c:pt idx="8">
                  <c:v>1</c:v>
                </c:pt>
                <c:pt idx="9">
                  <c:v>1</c:v>
                </c:pt>
                <c:pt idx="10">
                  <c:v>1</c:v>
                </c:pt>
                <c:pt idx="11">
                  <c:v>0</c:v>
                </c:pt>
              </c:numCache>
            </c:numRef>
          </c:val>
          <c:extLst>
            <c:ext xmlns:c16="http://schemas.microsoft.com/office/drawing/2014/chart" uri="{C3380CC4-5D6E-409C-BE32-E72D297353CC}">
              <c16:uniqueId val="{00000001-2B3C-40F2-9669-2B9EA94F173B}"/>
            </c:ext>
          </c:extLst>
        </c:ser>
        <c:dLbls>
          <c:showLegendKey val="0"/>
          <c:showVal val="0"/>
          <c:showCatName val="0"/>
          <c:showSerName val="0"/>
          <c:showPercent val="0"/>
          <c:showBubbleSize val="0"/>
        </c:dLbls>
        <c:gapWidth val="219"/>
        <c:overlap val="-27"/>
        <c:axId val="600439504"/>
        <c:axId val="597400304"/>
      </c:barChart>
      <c:catAx>
        <c:axId val="60043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597400304"/>
        <c:crosses val="autoZero"/>
        <c:auto val="1"/>
        <c:lblAlgn val="ctr"/>
        <c:lblOffset val="100"/>
        <c:noMultiLvlLbl val="0"/>
      </c:catAx>
      <c:valAx>
        <c:axId val="597400304"/>
        <c:scaling>
          <c:orientation val="minMax"/>
        </c:scaling>
        <c:delete val="1"/>
        <c:axPos val="l"/>
        <c:numFmt formatCode="0" sourceLinked="1"/>
        <c:majorTickMark val="none"/>
        <c:minorTickMark val="none"/>
        <c:tickLblPos val="nextTo"/>
        <c:crossAx val="600439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Data'!$E$45:$P$45</c:f>
              <c:numCache>
                <c:formatCode>0%</c:formatCode>
                <c:ptCount val="12"/>
                <c:pt idx="0">
                  <c:v>0.96153846153846156</c:v>
                </c:pt>
                <c:pt idx="1">
                  <c:v>1</c:v>
                </c:pt>
                <c:pt idx="2">
                  <c:v>1</c:v>
                </c:pt>
                <c:pt idx="3">
                  <c:v>0.96153846153846156</c:v>
                </c:pt>
                <c:pt idx="4">
                  <c:v>1</c:v>
                </c:pt>
                <c:pt idx="5">
                  <c:v>1</c:v>
                </c:pt>
                <c:pt idx="6">
                  <c:v>1</c:v>
                </c:pt>
                <c:pt idx="7">
                  <c:v>0.96</c:v>
                </c:pt>
                <c:pt idx="8">
                  <c:v>1</c:v>
                </c:pt>
                <c:pt idx="9">
                  <c:v>1</c:v>
                </c:pt>
                <c:pt idx="10">
                  <c:v>1</c:v>
                </c:pt>
                <c:pt idx="11">
                  <c:v>1</c:v>
                </c:pt>
              </c:numCache>
            </c:numRef>
          </c:val>
          <c:extLst>
            <c:ext xmlns:c16="http://schemas.microsoft.com/office/drawing/2014/chart" uri="{C3380CC4-5D6E-409C-BE32-E72D297353CC}">
              <c16:uniqueId val="{00000000-0F6A-480A-B222-63D14A3F6D27}"/>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Data'!$E$46:$P$46</c:f>
              <c:numCache>
                <c:formatCode>0%</c:formatCode>
                <c:ptCount val="12"/>
                <c:pt idx="0">
                  <c:v>0.97222222222222221</c:v>
                </c:pt>
                <c:pt idx="1">
                  <c:v>0.97142857142857142</c:v>
                </c:pt>
                <c:pt idx="2">
                  <c:v>0.93939393939393945</c:v>
                </c:pt>
                <c:pt idx="3">
                  <c:v>0.9</c:v>
                </c:pt>
                <c:pt idx="4">
                  <c:v>0.96551724137931039</c:v>
                </c:pt>
                <c:pt idx="5">
                  <c:v>1</c:v>
                </c:pt>
                <c:pt idx="6">
                  <c:v>0.93103448275862066</c:v>
                </c:pt>
                <c:pt idx="7">
                  <c:v>1</c:v>
                </c:pt>
                <c:pt idx="8">
                  <c:v>0.9642857142857143</c:v>
                </c:pt>
                <c:pt idx="9">
                  <c:v>0.96296296296296302</c:v>
                </c:pt>
                <c:pt idx="10">
                  <c:v>0.96296296296296302</c:v>
                </c:pt>
                <c:pt idx="11">
                  <c:v>1</c:v>
                </c:pt>
              </c:numCache>
            </c:numRef>
          </c:val>
          <c:extLst>
            <c:ext xmlns:c16="http://schemas.microsoft.com/office/drawing/2014/chart" uri="{C3380CC4-5D6E-409C-BE32-E72D297353CC}">
              <c16:uniqueId val="{00000002-0F6A-480A-B222-63D14A3F6D27}"/>
            </c:ext>
          </c:extLst>
        </c:ser>
        <c:dLbls>
          <c:showLegendKey val="0"/>
          <c:showVal val="0"/>
          <c:showCatName val="0"/>
          <c:showSerName val="0"/>
          <c:showPercent val="0"/>
          <c:showBubbleSize val="0"/>
        </c:dLbls>
        <c:gapWidth val="219"/>
        <c:overlap val="-27"/>
        <c:axId val="600439504"/>
        <c:axId val="597400304"/>
      </c:barChart>
      <c:catAx>
        <c:axId val="60043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597400304"/>
        <c:crosses val="autoZero"/>
        <c:auto val="1"/>
        <c:lblAlgn val="ctr"/>
        <c:lblOffset val="100"/>
        <c:noMultiLvlLbl val="0"/>
      </c:catAx>
      <c:valAx>
        <c:axId val="597400304"/>
        <c:scaling>
          <c:orientation val="minMax"/>
        </c:scaling>
        <c:delete val="1"/>
        <c:axPos val="l"/>
        <c:numFmt formatCode="0%" sourceLinked="1"/>
        <c:majorTickMark val="none"/>
        <c:minorTickMark val="none"/>
        <c:tickLblPos val="nextTo"/>
        <c:crossAx val="600439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Data'!$E$49:$P$49</c:f>
              <c:numCache>
                <c:formatCode>0%</c:formatCode>
                <c:ptCount val="12"/>
                <c:pt idx="0">
                  <c:v>3.8461538461538464E-2</c:v>
                </c:pt>
                <c:pt idx="1">
                  <c:v>0</c:v>
                </c:pt>
                <c:pt idx="2">
                  <c:v>0</c:v>
                </c:pt>
                <c:pt idx="3">
                  <c:v>3.8461538461538464E-2</c:v>
                </c:pt>
                <c:pt idx="4">
                  <c:v>0</c:v>
                </c:pt>
                <c:pt idx="5">
                  <c:v>0</c:v>
                </c:pt>
                <c:pt idx="6">
                  <c:v>0</c:v>
                </c:pt>
                <c:pt idx="7">
                  <c:v>0.04</c:v>
                </c:pt>
                <c:pt idx="8">
                  <c:v>0</c:v>
                </c:pt>
                <c:pt idx="9">
                  <c:v>0</c:v>
                </c:pt>
                <c:pt idx="10">
                  <c:v>0</c:v>
                </c:pt>
                <c:pt idx="11">
                  <c:v>0</c:v>
                </c:pt>
              </c:numCache>
            </c:numRef>
          </c:val>
          <c:extLst>
            <c:ext xmlns:c16="http://schemas.microsoft.com/office/drawing/2014/chart" uri="{C3380CC4-5D6E-409C-BE32-E72D297353CC}">
              <c16:uniqueId val="{00000000-7B5E-4285-9B77-5635ABCF0AA3}"/>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'Background Data'!$E$32:$P$32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'Background Data'!$E$50:$P$50</c:f>
              <c:numCache>
                <c:formatCode>0%</c:formatCode>
                <c:ptCount val="12"/>
                <c:pt idx="0">
                  <c:v>2.7777777777777776E-2</c:v>
                </c:pt>
                <c:pt idx="1">
                  <c:v>2.8571428571428571E-2</c:v>
                </c:pt>
                <c:pt idx="2">
                  <c:v>6.0606060606060608E-2</c:v>
                </c:pt>
                <c:pt idx="3">
                  <c:v>0.1</c:v>
                </c:pt>
                <c:pt idx="4">
                  <c:v>3.4482758620689655E-2</c:v>
                </c:pt>
                <c:pt idx="5">
                  <c:v>0</c:v>
                </c:pt>
                <c:pt idx="6">
                  <c:v>6.8965517241379309E-2</c:v>
                </c:pt>
                <c:pt idx="7">
                  <c:v>0</c:v>
                </c:pt>
                <c:pt idx="8">
                  <c:v>3.5714285714285712E-2</c:v>
                </c:pt>
                <c:pt idx="9">
                  <c:v>3.7037037037037035E-2</c:v>
                </c:pt>
                <c:pt idx="10">
                  <c:v>3.7037037037037035E-2</c:v>
                </c:pt>
                <c:pt idx="11">
                  <c:v>0</c:v>
                </c:pt>
              </c:numCache>
            </c:numRef>
          </c:val>
          <c:extLst>
            <c:ext xmlns:c16="http://schemas.microsoft.com/office/drawing/2014/chart" uri="{C3380CC4-5D6E-409C-BE32-E72D297353CC}">
              <c16:uniqueId val="{00000001-7B5E-4285-9B77-5635ABCF0AA3}"/>
            </c:ext>
          </c:extLst>
        </c:ser>
        <c:dLbls>
          <c:showLegendKey val="0"/>
          <c:showVal val="0"/>
          <c:showCatName val="0"/>
          <c:showSerName val="0"/>
          <c:showPercent val="0"/>
          <c:showBubbleSize val="0"/>
        </c:dLbls>
        <c:gapWidth val="219"/>
        <c:overlap val="-27"/>
        <c:axId val="600439504"/>
        <c:axId val="597400304"/>
      </c:barChart>
      <c:catAx>
        <c:axId val="60043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597400304"/>
        <c:crosses val="autoZero"/>
        <c:auto val="1"/>
        <c:lblAlgn val="ctr"/>
        <c:lblOffset val="100"/>
        <c:noMultiLvlLbl val="0"/>
      </c:catAx>
      <c:valAx>
        <c:axId val="597400304"/>
        <c:scaling>
          <c:orientation val="minMax"/>
        </c:scaling>
        <c:delete val="1"/>
        <c:axPos val="l"/>
        <c:numFmt formatCode="0%" sourceLinked="1"/>
        <c:majorTickMark val="none"/>
        <c:minorTickMark val="none"/>
        <c:tickLblPos val="nextTo"/>
        <c:crossAx val="600439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1FA4-49D5-A860-C40F8B615CF0}"/>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extLst>
                <c:ext xmlns:c16="http://schemas.microsoft.com/office/drawing/2014/chart" uri="{C3380CC4-5D6E-409C-BE32-E72D297353CC}">
                  <c16:uniqueId val="{00000001-1FA4-49D5-A860-C40F8B615CF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Comparison'!$F$7</c:f>
              <c:numCache>
                <c:formatCode>General</c:formatCode>
                <c:ptCount val="1"/>
                <c:pt idx="0">
                  <c:v>4</c:v>
                </c:pt>
              </c:numCache>
            </c:numRef>
          </c:val>
          <c:extLst>
            <c:ext xmlns:c16="http://schemas.microsoft.com/office/drawing/2014/chart" uri="{C3380CC4-5D6E-409C-BE32-E72D297353CC}">
              <c16:uniqueId val="{00000000-1FA4-49D5-A860-C40F8B615CF0}"/>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l"/>
        <c:majorTickMark val="out"/>
        <c:minorTickMark val="none"/>
        <c:tickLblPos val="nextTo"/>
        <c:crossAx val="542448592"/>
        <c:crosses val="autoZero"/>
        <c:auto val="1"/>
        <c:lblAlgn val="ctr"/>
        <c:lblOffset val="100"/>
        <c:noMultiLvlLbl val="0"/>
      </c:catAx>
      <c:valAx>
        <c:axId val="542448592"/>
        <c:scaling>
          <c:orientation val="minMax"/>
          <c:max val="20"/>
        </c:scaling>
        <c:delete val="1"/>
        <c:axPos val="b"/>
        <c:numFmt formatCode="General"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009688"/>
              </a:solidFill>
              <a:ln>
                <a:noFill/>
              </a:ln>
              <a:effectLst/>
            </c:spPr>
            <c:extLst>
              <c:ext xmlns:c16="http://schemas.microsoft.com/office/drawing/2014/chart" uri="{C3380CC4-5D6E-409C-BE32-E72D297353CC}">
                <c16:uniqueId val="{00000001-FA87-4F55-B28D-48F009777B6D}"/>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A87-4F55-B28D-48F009777B6D}"/>
                </c:ext>
              </c:extLst>
            </c:dLbl>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Comparison'!$D$7</c:f>
              <c:numCache>
                <c:formatCode>General</c:formatCode>
                <c:ptCount val="1"/>
                <c:pt idx="0">
                  <c:v>3</c:v>
                </c:pt>
              </c:numCache>
            </c:numRef>
          </c:val>
          <c:extLst>
            <c:ext xmlns:c16="http://schemas.microsoft.com/office/drawing/2014/chart" uri="{C3380CC4-5D6E-409C-BE32-E72D297353CC}">
              <c16:uniqueId val="{00000000-FA87-4F55-B28D-48F009777B6D}"/>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r"/>
        <c:majorTickMark val="out"/>
        <c:minorTickMark val="none"/>
        <c:tickLblPos val="nextTo"/>
        <c:crossAx val="542448592"/>
        <c:crosses val="autoZero"/>
        <c:auto val="1"/>
        <c:lblAlgn val="ctr"/>
        <c:lblOffset val="100"/>
        <c:noMultiLvlLbl val="0"/>
      </c:catAx>
      <c:valAx>
        <c:axId val="542448592"/>
        <c:scaling>
          <c:orientation val="maxMin"/>
          <c:max val="20"/>
        </c:scaling>
        <c:delete val="1"/>
        <c:axPos val="b"/>
        <c:numFmt formatCode="General"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Comparison'!$F$8</c:f>
              <c:numCache>
                <c:formatCode>General</c:formatCode>
                <c:ptCount val="1"/>
                <c:pt idx="0">
                  <c:v>4</c:v>
                </c:pt>
              </c:numCache>
            </c:numRef>
          </c:val>
          <c:extLst>
            <c:ext xmlns:c16="http://schemas.microsoft.com/office/drawing/2014/chart" uri="{C3380CC4-5D6E-409C-BE32-E72D297353CC}">
              <c16:uniqueId val="{00000002-18D6-4E74-8D51-1FDA184B077D}"/>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l"/>
        <c:majorTickMark val="out"/>
        <c:minorTickMark val="none"/>
        <c:tickLblPos val="nextTo"/>
        <c:crossAx val="542448592"/>
        <c:crosses val="autoZero"/>
        <c:auto val="1"/>
        <c:lblAlgn val="ctr"/>
        <c:lblOffset val="100"/>
        <c:noMultiLvlLbl val="0"/>
      </c:catAx>
      <c:valAx>
        <c:axId val="542448592"/>
        <c:scaling>
          <c:orientation val="minMax"/>
          <c:max val="20"/>
        </c:scaling>
        <c:delete val="1"/>
        <c:axPos val="b"/>
        <c:numFmt formatCode="General"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Comparison'!$D$8</c:f>
              <c:numCache>
                <c:formatCode>General</c:formatCode>
                <c:ptCount val="1"/>
                <c:pt idx="0">
                  <c:v>1</c:v>
                </c:pt>
              </c:numCache>
            </c:numRef>
          </c:val>
          <c:extLst>
            <c:ext xmlns:c16="http://schemas.microsoft.com/office/drawing/2014/chart" uri="{C3380CC4-5D6E-409C-BE32-E72D297353CC}">
              <c16:uniqueId val="{00000002-25F3-424A-BF48-E73DC89FF57E}"/>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r"/>
        <c:majorTickMark val="out"/>
        <c:minorTickMark val="none"/>
        <c:tickLblPos val="nextTo"/>
        <c:crossAx val="542448592"/>
        <c:crosses val="autoZero"/>
        <c:auto val="1"/>
        <c:lblAlgn val="ctr"/>
        <c:lblOffset val="100"/>
        <c:noMultiLvlLbl val="0"/>
      </c:catAx>
      <c:valAx>
        <c:axId val="542448592"/>
        <c:scaling>
          <c:orientation val="maxMin"/>
          <c:max val="20"/>
        </c:scaling>
        <c:delete val="1"/>
        <c:axPos val="b"/>
        <c:numFmt formatCode="General"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9688"/>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8F3-4372-9C31-EA9550BA825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Comparison'!$D$9</c:f>
              <c:numCache>
                <c:formatCode>0%</c:formatCode>
                <c:ptCount val="1"/>
                <c:pt idx="0">
                  <c:v>0.25</c:v>
                </c:pt>
              </c:numCache>
            </c:numRef>
          </c:val>
          <c:extLst>
            <c:ext xmlns:c16="http://schemas.microsoft.com/office/drawing/2014/chart" uri="{C3380CC4-5D6E-409C-BE32-E72D297353CC}">
              <c16:uniqueId val="{00000000-58F3-4372-9C31-EA9550BA825F}"/>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r"/>
        <c:majorTickMark val="out"/>
        <c:minorTickMark val="none"/>
        <c:tickLblPos val="nextTo"/>
        <c:crossAx val="542448592"/>
        <c:crosses val="autoZero"/>
        <c:auto val="1"/>
        <c:lblAlgn val="ctr"/>
        <c:lblOffset val="100"/>
        <c:noMultiLvlLbl val="0"/>
      </c:catAx>
      <c:valAx>
        <c:axId val="542448592"/>
        <c:scaling>
          <c:orientation val="maxMin"/>
          <c:max val="2"/>
        </c:scaling>
        <c:delete val="1"/>
        <c:axPos val="b"/>
        <c:numFmt formatCode="0%"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2"/>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0.24425462402202977"/>
                      <c:h val="0.35702448361251715"/>
                    </c:manualLayout>
                  </c15:layout>
                </c:ext>
                <c:ext xmlns:c16="http://schemas.microsoft.com/office/drawing/2014/chart" uri="{C3380CC4-5D6E-409C-BE32-E72D297353CC}">
                  <c16:uniqueId val="{00000001-AF45-4B66-BDD4-FAB0B8FDDBF6}"/>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Comparison'!$F$9</c:f>
              <c:numCache>
                <c:formatCode>0%</c:formatCode>
                <c:ptCount val="1"/>
                <c:pt idx="0">
                  <c:v>0.5</c:v>
                </c:pt>
              </c:numCache>
            </c:numRef>
          </c:val>
          <c:extLst>
            <c:ext xmlns:c16="http://schemas.microsoft.com/office/drawing/2014/chart" uri="{C3380CC4-5D6E-409C-BE32-E72D297353CC}">
              <c16:uniqueId val="{00000000-AF45-4B66-BDD4-FAB0B8FDDBF6}"/>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l"/>
        <c:majorTickMark val="out"/>
        <c:minorTickMark val="none"/>
        <c:tickLblPos val="nextTo"/>
        <c:crossAx val="542448592"/>
        <c:crosses val="autoZero"/>
        <c:auto val="1"/>
        <c:lblAlgn val="ctr"/>
        <c:lblOffset val="100"/>
        <c:noMultiLvlLbl val="0"/>
      </c:catAx>
      <c:valAx>
        <c:axId val="542448592"/>
        <c:scaling>
          <c:orientation val="minMax"/>
          <c:max val="2"/>
        </c:scaling>
        <c:delete val="1"/>
        <c:axPos val="b"/>
        <c:numFmt formatCode="0%"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96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Comparison'!$D$10</c:f>
              <c:numCache>
                <c:formatCode>0.0</c:formatCode>
                <c:ptCount val="1"/>
                <c:pt idx="0">
                  <c:v>4.4363013698630134</c:v>
                </c:pt>
              </c:numCache>
            </c:numRef>
          </c:val>
          <c:extLst>
            <c:ext xmlns:c16="http://schemas.microsoft.com/office/drawing/2014/chart" uri="{C3380CC4-5D6E-409C-BE32-E72D297353CC}">
              <c16:uniqueId val="{00000000-A905-4FA4-A564-E5626B79F1F9}"/>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r"/>
        <c:majorTickMark val="out"/>
        <c:minorTickMark val="none"/>
        <c:tickLblPos val="nextTo"/>
        <c:crossAx val="542448592"/>
        <c:crosses val="autoZero"/>
        <c:auto val="1"/>
        <c:lblAlgn val="ctr"/>
        <c:lblOffset val="100"/>
        <c:noMultiLvlLbl val="0"/>
      </c:catAx>
      <c:valAx>
        <c:axId val="542448592"/>
        <c:scaling>
          <c:orientation val="maxMin"/>
          <c:max val="20"/>
        </c:scaling>
        <c:delete val="1"/>
        <c:axPos val="b"/>
        <c:numFmt formatCode="0.0"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'Department Comparison'!$F$10</c:f>
              <c:numCache>
                <c:formatCode>0.0</c:formatCode>
                <c:ptCount val="1"/>
                <c:pt idx="0">
                  <c:v>4.0102739726027394</c:v>
                </c:pt>
              </c:numCache>
            </c:numRef>
          </c:val>
          <c:extLst>
            <c:ext xmlns:c16="http://schemas.microsoft.com/office/drawing/2014/chart" uri="{C3380CC4-5D6E-409C-BE32-E72D297353CC}">
              <c16:uniqueId val="{00000000-EBDF-4544-98F6-0E88DF989543}"/>
            </c:ext>
          </c:extLst>
        </c:ser>
        <c:dLbls>
          <c:showLegendKey val="0"/>
          <c:showVal val="0"/>
          <c:showCatName val="0"/>
          <c:showSerName val="0"/>
          <c:showPercent val="0"/>
          <c:showBubbleSize val="0"/>
        </c:dLbls>
        <c:gapWidth val="20"/>
        <c:axId val="906228608"/>
        <c:axId val="542448592"/>
      </c:barChart>
      <c:catAx>
        <c:axId val="906228608"/>
        <c:scaling>
          <c:orientation val="minMax"/>
        </c:scaling>
        <c:delete val="1"/>
        <c:axPos val="l"/>
        <c:majorTickMark val="out"/>
        <c:minorTickMark val="none"/>
        <c:tickLblPos val="nextTo"/>
        <c:crossAx val="542448592"/>
        <c:crosses val="autoZero"/>
        <c:auto val="1"/>
        <c:lblAlgn val="ctr"/>
        <c:lblOffset val="100"/>
        <c:noMultiLvlLbl val="0"/>
      </c:catAx>
      <c:valAx>
        <c:axId val="542448592"/>
        <c:scaling>
          <c:orientation val="minMax"/>
          <c:max val="20"/>
        </c:scaling>
        <c:delete val="1"/>
        <c:axPos val="b"/>
        <c:numFmt formatCode="0.0" sourceLinked="1"/>
        <c:majorTickMark val="out"/>
        <c:minorTickMark val="none"/>
        <c:tickLblPos val="nextTo"/>
        <c:crossAx val="9062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Lato" panose="020F0502020204030203" pitchFamily="34" charset="0"/>
          <a:ea typeface="Lato" panose="020F0502020204030203" pitchFamily="34" charset="0"/>
          <a:cs typeface="Lato" panose="020F0502020204030203"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0</xdr:col>
      <xdr:colOff>69849</xdr:colOff>
      <xdr:row>19</xdr:row>
      <xdr:rowOff>57151</xdr:rowOff>
    </xdr:from>
    <xdr:to>
      <xdr:col>1</xdr:col>
      <xdr:colOff>392489</xdr:colOff>
      <xdr:row>20</xdr:row>
      <xdr:rowOff>155123</xdr:rowOff>
    </xdr:to>
    <xdr:pic>
      <xdr:nvPicPr>
        <xdr:cNvPr id="3" name="Picture 2">
          <a:extLst>
            <a:ext uri="{FF2B5EF4-FFF2-40B4-BE49-F238E27FC236}">
              <a16:creationId xmlns:a16="http://schemas.microsoft.com/office/drawing/2014/main" id="{720A4F28-00D8-4894-925C-C6464F43F4A0}"/>
            </a:ext>
          </a:extLst>
        </xdr:cNvPr>
        <xdr:cNvPicPr>
          <a:picLocks noChangeAspect="1"/>
        </xdr:cNvPicPr>
      </xdr:nvPicPr>
      <xdr:blipFill>
        <a:blip xmlns:r="http://schemas.openxmlformats.org/officeDocument/2006/relationships" r:embed="rId1"/>
        <a:stretch>
          <a:fillRect/>
        </a:stretch>
      </xdr:blipFill>
      <xdr:spPr>
        <a:xfrm>
          <a:off x="69849" y="8201026"/>
          <a:ext cx="932240" cy="3265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104775</xdr:colOff>
      <xdr:row>15</xdr:row>
      <xdr:rowOff>138112</xdr:rowOff>
    </xdr:from>
    <xdr:to>
      <xdr:col>4</xdr:col>
      <xdr:colOff>476251</xdr:colOff>
      <xdr:row>29</xdr:row>
      <xdr:rowOff>61912</xdr:rowOff>
    </xdr:to>
    <xdr:graphicFrame macro="">
      <xdr:nvGraphicFramePr>
        <xdr:cNvPr id="2" name="Chart 1">
          <a:extLst>
            <a:ext uri="{FF2B5EF4-FFF2-40B4-BE49-F238E27FC236}">
              <a16:creationId xmlns:a16="http://schemas.microsoft.com/office/drawing/2014/main" id="{B37CC8DA-EEB4-4F0F-BE0B-944B4EF79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914400</xdr:colOff>
      <xdr:row>15</xdr:row>
      <xdr:rowOff>138112</xdr:rowOff>
    </xdr:from>
    <xdr:to>
      <xdr:col>14</xdr:col>
      <xdr:colOff>61912</xdr:colOff>
      <xdr:row>29</xdr:row>
      <xdr:rowOff>61912</xdr:rowOff>
    </xdr:to>
    <xdr:graphicFrame macro="">
      <xdr:nvGraphicFramePr>
        <xdr:cNvPr id="3" name="Chart 2">
          <a:extLst>
            <a:ext uri="{FF2B5EF4-FFF2-40B4-BE49-F238E27FC236}">
              <a16:creationId xmlns:a16="http://schemas.microsoft.com/office/drawing/2014/main" id="{8C5A36F9-21CB-4BED-AD4A-AEC4145DE3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xdr:row>
      <xdr:rowOff>214313</xdr:rowOff>
    </xdr:from>
    <xdr:to>
      <xdr:col>14</xdr:col>
      <xdr:colOff>47625</xdr:colOff>
      <xdr:row>15</xdr:row>
      <xdr:rowOff>1</xdr:rowOff>
    </xdr:to>
    <xdr:graphicFrame macro="">
      <xdr:nvGraphicFramePr>
        <xdr:cNvPr id="5" name="Chart 4">
          <a:extLst>
            <a:ext uri="{FF2B5EF4-FFF2-40B4-BE49-F238E27FC236}">
              <a16:creationId xmlns:a16="http://schemas.microsoft.com/office/drawing/2014/main" id="{FF0ABB46-6481-4EA4-A209-E1A0D17A34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133349</xdr:colOff>
      <xdr:row>5</xdr:row>
      <xdr:rowOff>188912</xdr:rowOff>
    </xdr:from>
    <xdr:to>
      <xdr:col>20</xdr:col>
      <xdr:colOff>95250</xdr:colOff>
      <xdr:row>29</xdr:row>
      <xdr:rowOff>57150</xdr:rowOff>
    </xdr:to>
    <xdr:graphicFrame macro="">
      <xdr:nvGraphicFramePr>
        <xdr:cNvPr id="6" name="Chart 5">
          <a:extLst>
            <a:ext uri="{FF2B5EF4-FFF2-40B4-BE49-F238E27FC236}">
              <a16:creationId xmlns:a16="http://schemas.microsoft.com/office/drawing/2014/main" id="{67D46659-8EF9-4903-A333-8C7F25F97B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57150</xdr:colOff>
      <xdr:row>6</xdr:row>
      <xdr:rowOff>123826</xdr:rowOff>
    </xdr:from>
    <xdr:to>
      <xdr:col>0</xdr:col>
      <xdr:colOff>1885950</xdr:colOff>
      <xdr:row>11</xdr:row>
      <xdr:rowOff>180976</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33177930-612A-49BA-AFF4-EFE1F62BFC9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7150" y="1809751"/>
              <a:ext cx="182880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1952625</xdr:colOff>
      <xdr:row>6</xdr:row>
      <xdr:rowOff>123825</xdr:rowOff>
    </xdr:from>
    <xdr:to>
      <xdr:col>0</xdr:col>
      <xdr:colOff>3781425</xdr:colOff>
      <xdr:row>17</xdr:row>
      <xdr:rowOff>133350</xdr:rowOff>
    </xdr:to>
    <mc:AlternateContent xmlns:mc="http://schemas.openxmlformats.org/markup-compatibility/2006" xmlns:a14="http://schemas.microsoft.com/office/drawing/2010/main">
      <mc:Choice Requires="a14">
        <xdr:graphicFrame macro="">
          <xdr:nvGraphicFramePr>
            <xdr:cNvPr id="8" name="Location">
              <a:extLst>
                <a:ext uri="{FF2B5EF4-FFF2-40B4-BE49-F238E27FC236}">
                  <a16:creationId xmlns:a16="http://schemas.microsoft.com/office/drawing/2014/main" id="{1E8306A5-343A-437C-B44D-8C383412B50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952625" y="1809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12</xdr:row>
      <xdr:rowOff>9525</xdr:rowOff>
    </xdr:from>
    <xdr:to>
      <xdr:col>0</xdr:col>
      <xdr:colOff>1885950</xdr:colOff>
      <xdr:row>23</xdr:row>
      <xdr:rowOff>171450</xdr:rowOff>
    </xdr:to>
    <mc:AlternateContent xmlns:mc="http://schemas.openxmlformats.org/markup-compatibility/2006" xmlns:a14="http://schemas.microsoft.com/office/drawing/2010/main">
      <mc:Choice Requires="a14">
        <xdr:graphicFrame macro="">
          <xdr:nvGraphicFramePr>
            <xdr:cNvPr id="9" name="Department">
              <a:extLst>
                <a:ext uri="{FF2B5EF4-FFF2-40B4-BE49-F238E27FC236}">
                  <a16:creationId xmlns:a16="http://schemas.microsoft.com/office/drawing/2014/main" id="{28F37AC6-20EF-4788-A213-207AADA738E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7150" y="3067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24</xdr:row>
      <xdr:rowOff>28575</xdr:rowOff>
    </xdr:from>
    <xdr:to>
      <xdr:col>0</xdr:col>
      <xdr:colOff>1885950</xdr:colOff>
      <xdr:row>32</xdr:row>
      <xdr:rowOff>0</xdr:rowOff>
    </xdr:to>
    <mc:AlternateContent xmlns:mc="http://schemas.openxmlformats.org/markup-compatibility/2006" xmlns:a14="http://schemas.microsoft.com/office/drawing/2010/main">
      <mc:Choice Requires="a14">
        <xdr:graphicFrame macro="">
          <xdr:nvGraphicFramePr>
            <xdr:cNvPr id="10" name="Contract Type">
              <a:extLst>
                <a:ext uri="{FF2B5EF4-FFF2-40B4-BE49-F238E27FC236}">
                  <a16:creationId xmlns:a16="http://schemas.microsoft.com/office/drawing/2014/main" id="{A80303A6-BB35-46AE-9E7A-A01C01716299}"/>
                </a:ext>
              </a:extLst>
            </xdr:cNvPr>
            <xdr:cNvGraphicFramePr/>
          </xdr:nvGraphicFramePr>
          <xdr:xfrm>
            <a:off x="0" y="0"/>
            <a:ext cx="0" cy="0"/>
          </xdr:xfrm>
          <a:graphic>
            <a:graphicData uri="http://schemas.microsoft.com/office/drawing/2010/slicer">
              <sle:slicer xmlns:sle="http://schemas.microsoft.com/office/drawing/2010/slicer" name="Contract Type"/>
            </a:graphicData>
          </a:graphic>
        </xdr:graphicFrame>
      </mc:Choice>
      <mc:Fallback xmlns="">
        <xdr:sp macro="" textlink="">
          <xdr:nvSpPr>
            <xdr:cNvPr id="0" name=""/>
            <xdr:cNvSpPr>
              <a:spLocks noTextEdit="1"/>
            </xdr:cNvSpPr>
          </xdr:nvSpPr>
          <xdr:spPr>
            <a:xfrm>
              <a:off x="57150" y="5638800"/>
              <a:ext cx="1828800" cy="1495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600075</xdr:colOff>
      <xdr:row>15</xdr:row>
      <xdr:rowOff>133350</xdr:rowOff>
    </xdr:from>
    <xdr:to>
      <xdr:col>7</xdr:col>
      <xdr:colOff>779907</xdr:colOff>
      <xdr:row>29</xdr:row>
      <xdr:rowOff>57150</xdr:rowOff>
    </xdr:to>
    <xdr:graphicFrame macro="">
      <xdr:nvGraphicFramePr>
        <xdr:cNvPr id="13" name="Chart 12">
          <a:extLst>
            <a:ext uri="{FF2B5EF4-FFF2-40B4-BE49-F238E27FC236}">
              <a16:creationId xmlns:a16="http://schemas.microsoft.com/office/drawing/2014/main" id="{CC657F79-50C3-41F7-A74D-3C5A8ECE39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57150</xdr:colOff>
      <xdr:row>32</xdr:row>
      <xdr:rowOff>38101</xdr:rowOff>
    </xdr:from>
    <xdr:to>
      <xdr:col>0</xdr:col>
      <xdr:colOff>3790950</xdr:colOff>
      <xdr:row>38</xdr:row>
      <xdr:rowOff>133350</xdr:rowOff>
    </xdr:to>
    <mc:AlternateContent xmlns:mc="http://schemas.openxmlformats.org/markup-compatibility/2006" xmlns:a14="http://schemas.microsoft.com/office/drawing/2010/main">
      <mc:Choice Requires="a14">
        <xdr:graphicFrame macro="">
          <xdr:nvGraphicFramePr>
            <xdr:cNvPr id="14" name="Hire Source">
              <a:extLst>
                <a:ext uri="{FF2B5EF4-FFF2-40B4-BE49-F238E27FC236}">
                  <a16:creationId xmlns:a16="http://schemas.microsoft.com/office/drawing/2014/main" id="{CAF5CA12-1EC4-43BF-B021-F828972882C4}"/>
                </a:ext>
              </a:extLst>
            </xdr:cNvPr>
            <xdr:cNvGraphicFramePr/>
          </xdr:nvGraphicFramePr>
          <xdr:xfrm>
            <a:off x="0" y="0"/>
            <a:ext cx="0" cy="0"/>
          </xdr:xfrm>
          <a:graphic>
            <a:graphicData uri="http://schemas.microsoft.com/office/drawing/2010/slicer">
              <sle:slicer xmlns:sle="http://schemas.microsoft.com/office/drawing/2010/slicer" name="Hire Source"/>
            </a:graphicData>
          </a:graphic>
        </xdr:graphicFrame>
      </mc:Choice>
      <mc:Fallback xmlns="">
        <xdr:sp macro="" textlink="">
          <xdr:nvSpPr>
            <xdr:cNvPr id="0" name=""/>
            <xdr:cNvSpPr>
              <a:spLocks noTextEdit="1"/>
            </xdr:cNvSpPr>
          </xdr:nvSpPr>
          <xdr:spPr>
            <a:xfrm>
              <a:off x="57150" y="7172326"/>
              <a:ext cx="3733800" cy="1238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1952625</xdr:colOff>
      <xdr:row>17</xdr:row>
      <xdr:rowOff>174625</xdr:rowOff>
    </xdr:from>
    <xdr:to>
      <xdr:col>0</xdr:col>
      <xdr:colOff>3781425</xdr:colOff>
      <xdr:row>31</xdr:row>
      <xdr:rowOff>168275</xdr:rowOff>
    </xdr:to>
    <mc:AlternateContent xmlns:mc="http://schemas.openxmlformats.org/markup-compatibility/2006">
      <mc:Choice xmlns:a14="http://schemas.microsoft.com/office/drawing/2010/main" Requires="a14">
        <xdr:graphicFrame macro="">
          <xdr:nvGraphicFramePr>
            <xdr:cNvPr id="4" name="Role">
              <a:extLst>
                <a:ext uri="{FF2B5EF4-FFF2-40B4-BE49-F238E27FC236}">
                  <a16:creationId xmlns:a16="http://schemas.microsoft.com/office/drawing/2014/main" id="{B43B2996-1509-4F42-9B00-3A7C4D9265A3}"/>
                </a:ext>
              </a:extLst>
            </xdr:cNvPr>
            <xdr:cNvGraphicFramePr/>
          </xdr:nvGraphicFramePr>
          <xdr:xfrm>
            <a:off x="0" y="0"/>
            <a:ext cx="0" cy="0"/>
          </xdr:xfrm>
          <a:graphic>
            <a:graphicData uri="http://schemas.microsoft.com/office/drawing/2010/slicer">
              <sle:slicer xmlns:sle="http://schemas.microsoft.com/office/drawing/2010/slicer" name="Role"/>
            </a:graphicData>
          </a:graphic>
        </xdr:graphicFrame>
      </mc:Choice>
      <mc:Fallback>
        <xdr:sp macro="" textlink="">
          <xdr:nvSpPr>
            <xdr:cNvPr id="0" name=""/>
            <xdr:cNvSpPr>
              <a:spLocks noTextEdit="1"/>
            </xdr:cNvSpPr>
          </xdr:nvSpPr>
          <xdr:spPr>
            <a:xfrm>
              <a:off x="1952625" y="4010025"/>
              <a:ext cx="1828800" cy="26606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200024</xdr:colOff>
      <xdr:row>4</xdr:row>
      <xdr:rowOff>4762</xdr:rowOff>
    </xdr:from>
    <xdr:to>
      <xdr:col>14</xdr:col>
      <xdr:colOff>533399</xdr:colOff>
      <xdr:row>6</xdr:row>
      <xdr:rowOff>0</xdr:rowOff>
    </xdr:to>
    <xdr:graphicFrame macro="">
      <xdr:nvGraphicFramePr>
        <xdr:cNvPr id="3" name="Chart 2">
          <a:extLst>
            <a:ext uri="{FF2B5EF4-FFF2-40B4-BE49-F238E27FC236}">
              <a16:creationId xmlns:a16="http://schemas.microsoft.com/office/drawing/2014/main" id="{B921D314-F01F-42A8-8816-7CCB79E87D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200025</xdr:colOff>
      <xdr:row>7</xdr:row>
      <xdr:rowOff>0</xdr:rowOff>
    </xdr:from>
    <xdr:to>
      <xdr:col>14</xdr:col>
      <xdr:colOff>533400</xdr:colOff>
      <xdr:row>8</xdr:row>
      <xdr:rowOff>947738</xdr:rowOff>
    </xdr:to>
    <xdr:graphicFrame macro="">
      <xdr:nvGraphicFramePr>
        <xdr:cNvPr id="5" name="Chart 4">
          <a:extLst>
            <a:ext uri="{FF2B5EF4-FFF2-40B4-BE49-F238E27FC236}">
              <a16:creationId xmlns:a16="http://schemas.microsoft.com/office/drawing/2014/main" id="{91E7D342-5F50-4336-AEF1-65CE56987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200025</xdr:colOff>
      <xdr:row>10</xdr:row>
      <xdr:rowOff>19050</xdr:rowOff>
    </xdr:from>
    <xdr:to>
      <xdr:col>14</xdr:col>
      <xdr:colOff>533400</xdr:colOff>
      <xdr:row>12</xdr:row>
      <xdr:rowOff>14288</xdr:rowOff>
    </xdr:to>
    <xdr:graphicFrame macro="">
      <xdr:nvGraphicFramePr>
        <xdr:cNvPr id="6" name="Chart 5">
          <a:extLst>
            <a:ext uri="{FF2B5EF4-FFF2-40B4-BE49-F238E27FC236}">
              <a16:creationId xmlns:a16="http://schemas.microsoft.com/office/drawing/2014/main" id="{31904683-77A8-4798-AA99-005467A443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200025</xdr:colOff>
      <xdr:row>13</xdr:row>
      <xdr:rowOff>0</xdr:rowOff>
    </xdr:from>
    <xdr:to>
      <xdr:col>14</xdr:col>
      <xdr:colOff>533400</xdr:colOff>
      <xdr:row>14</xdr:row>
      <xdr:rowOff>947738</xdr:rowOff>
    </xdr:to>
    <xdr:graphicFrame macro="">
      <xdr:nvGraphicFramePr>
        <xdr:cNvPr id="7" name="Chart 6">
          <a:extLst>
            <a:ext uri="{FF2B5EF4-FFF2-40B4-BE49-F238E27FC236}">
              <a16:creationId xmlns:a16="http://schemas.microsoft.com/office/drawing/2014/main" id="{D04862C6-D7B7-4C51-A028-3DB47C8B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200025</xdr:colOff>
      <xdr:row>16</xdr:row>
      <xdr:rowOff>0</xdr:rowOff>
    </xdr:from>
    <xdr:to>
      <xdr:col>14</xdr:col>
      <xdr:colOff>533400</xdr:colOff>
      <xdr:row>17</xdr:row>
      <xdr:rowOff>947738</xdr:rowOff>
    </xdr:to>
    <xdr:graphicFrame macro="">
      <xdr:nvGraphicFramePr>
        <xdr:cNvPr id="8" name="Chart 7">
          <a:extLst>
            <a:ext uri="{FF2B5EF4-FFF2-40B4-BE49-F238E27FC236}">
              <a16:creationId xmlns:a16="http://schemas.microsoft.com/office/drawing/2014/main" id="{0CACBAE1-39AE-4114-B9BB-DCBD92FD42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1014412</xdr:colOff>
      <xdr:row>5</xdr:row>
      <xdr:rowOff>223837</xdr:rowOff>
    </xdr:from>
    <xdr:to>
      <xdr:col>6</xdr:col>
      <xdr:colOff>9525</xdr:colOff>
      <xdr:row>7</xdr:row>
      <xdr:rowOff>0</xdr:rowOff>
    </xdr:to>
    <xdr:graphicFrame macro="">
      <xdr:nvGraphicFramePr>
        <xdr:cNvPr id="2" name="Chart 1">
          <a:extLst>
            <a:ext uri="{FF2B5EF4-FFF2-40B4-BE49-F238E27FC236}">
              <a16:creationId xmlns:a16="http://schemas.microsoft.com/office/drawing/2014/main" id="{B1D62972-677D-4CEB-868B-4404A15CBC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1400175</xdr:colOff>
      <xdr:row>6</xdr:row>
      <xdr:rowOff>0</xdr:rowOff>
    </xdr:from>
    <xdr:to>
      <xdr:col>4</xdr:col>
      <xdr:colOff>4763</xdr:colOff>
      <xdr:row>7</xdr:row>
      <xdr:rowOff>4763</xdr:rowOff>
    </xdr:to>
    <xdr:graphicFrame macro="">
      <xdr:nvGraphicFramePr>
        <xdr:cNvPr id="3" name="Chart 2">
          <a:extLst>
            <a:ext uri="{FF2B5EF4-FFF2-40B4-BE49-F238E27FC236}">
              <a16:creationId xmlns:a16="http://schemas.microsoft.com/office/drawing/2014/main" id="{87029713-FBD4-4D73-AE4A-4739703B0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7</xdr:row>
      <xdr:rowOff>0</xdr:rowOff>
    </xdr:from>
    <xdr:to>
      <xdr:col>6</xdr:col>
      <xdr:colOff>14288</xdr:colOff>
      <xdr:row>8</xdr:row>
      <xdr:rowOff>4763</xdr:rowOff>
    </xdr:to>
    <xdr:graphicFrame macro="">
      <xdr:nvGraphicFramePr>
        <xdr:cNvPr id="4" name="Chart 3">
          <a:extLst>
            <a:ext uri="{FF2B5EF4-FFF2-40B4-BE49-F238E27FC236}">
              <a16:creationId xmlns:a16="http://schemas.microsoft.com/office/drawing/2014/main" id="{87753074-954D-4C88-B151-0BF822ECB7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7</xdr:row>
      <xdr:rowOff>0</xdr:rowOff>
    </xdr:from>
    <xdr:to>
      <xdr:col>4</xdr:col>
      <xdr:colOff>14288</xdr:colOff>
      <xdr:row>8</xdr:row>
      <xdr:rowOff>4763</xdr:rowOff>
    </xdr:to>
    <xdr:graphicFrame macro="">
      <xdr:nvGraphicFramePr>
        <xdr:cNvPr id="5" name="Chart 4">
          <a:extLst>
            <a:ext uri="{FF2B5EF4-FFF2-40B4-BE49-F238E27FC236}">
              <a16:creationId xmlns:a16="http://schemas.microsoft.com/office/drawing/2014/main" id="{ACED2C6B-472C-4445-8F92-5AD5A79637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8</xdr:row>
      <xdr:rowOff>0</xdr:rowOff>
    </xdr:from>
    <xdr:to>
      <xdr:col>4</xdr:col>
      <xdr:colOff>14288</xdr:colOff>
      <xdr:row>9</xdr:row>
      <xdr:rowOff>4763</xdr:rowOff>
    </xdr:to>
    <xdr:graphicFrame macro="">
      <xdr:nvGraphicFramePr>
        <xdr:cNvPr id="7" name="Chart 6">
          <a:extLst>
            <a:ext uri="{FF2B5EF4-FFF2-40B4-BE49-F238E27FC236}">
              <a16:creationId xmlns:a16="http://schemas.microsoft.com/office/drawing/2014/main" id="{25A8DD4C-EA62-4896-9A3C-A0E7C9CBE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8</xdr:row>
      <xdr:rowOff>0</xdr:rowOff>
    </xdr:from>
    <xdr:to>
      <xdr:col>6</xdr:col>
      <xdr:colOff>14288</xdr:colOff>
      <xdr:row>9</xdr:row>
      <xdr:rowOff>4763</xdr:rowOff>
    </xdr:to>
    <xdr:graphicFrame macro="">
      <xdr:nvGraphicFramePr>
        <xdr:cNvPr id="8" name="Chart 7">
          <a:extLst>
            <a:ext uri="{FF2B5EF4-FFF2-40B4-BE49-F238E27FC236}">
              <a16:creationId xmlns:a16="http://schemas.microsoft.com/office/drawing/2014/main" id="{B47B9DC0-EFB6-48C5-824C-769815C598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9</xdr:row>
      <xdr:rowOff>0</xdr:rowOff>
    </xdr:from>
    <xdr:to>
      <xdr:col>4</xdr:col>
      <xdr:colOff>14288</xdr:colOff>
      <xdr:row>10</xdr:row>
      <xdr:rowOff>4763</xdr:rowOff>
    </xdr:to>
    <xdr:graphicFrame macro="">
      <xdr:nvGraphicFramePr>
        <xdr:cNvPr id="9" name="Chart 8">
          <a:extLst>
            <a:ext uri="{FF2B5EF4-FFF2-40B4-BE49-F238E27FC236}">
              <a16:creationId xmlns:a16="http://schemas.microsoft.com/office/drawing/2014/main" id="{BE28AF8A-94FF-4F11-825B-6EECCF7B7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9</xdr:row>
      <xdr:rowOff>0</xdr:rowOff>
    </xdr:from>
    <xdr:to>
      <xdr:col>6</xdr:col>
      <xdr:colOff>14288</xdr:colOff>
      <xdr:row>10</xdr:row>
      <xdr:rowOff>4763</xdr:rowOff>
    </xdr:to>
    <xdr:graphicFrame macro="">
      <xdr:nvGraphicFramePr>
        <xdr:cNvPr id="10" name="Chart 9">
          <a:extLst>
            <a:ext uri="{FF2B5EF4-FFF2-40B4-BE49-F238E27FC236}">
              <a16:creationId xmlns:a16="http://schemas.microsoft.com/office/drawing/2014/main" id="{7E7BABAD-9599-4E3C-8248-90A1FFA66C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146.761068171298" createdVersion="6" refreshedVersion="6" minRefreshableVersion="3" recordCount="1001" xr:uid="{23C964C3-2149-4D86-B768-AA83B74F25A8}">
  <cacheSource type="worksheet">
    <worksheetSource name="emp_db"/>
  </cacheSource>
  <cacheFields count="21">
    <cacheField name="ID" numFmtId="0">
      <sharedItems containsString="0" containsBlank="1" containsNumber="1" containsInteger="1" minValue="1" maxValue="62"/>
    </cacheField>
    <cacheField name="Full Name" numFmtId="0">
      <sharedItems containsBlank="1"/>
    </cacheField>
    <cacheField name="Email" numFmtId="0">
      <sharedItems containsBlank="1"/>
    </cacheField>
    <cacheField name="Phone" numFmtId="0">
      <sharedItems containsBlank="1"/>
    </cacheField>
    <cacheField name="Date of Birth" numFmtId="164">
      <sharedItems containsNonDate="0" containsDate="1" containsString="0" containsBlank="1" minDate="1975-09-24T00:00:00" maxDate="1998-10-01T00:00:00"/>
    </cacheField>
    <cacheField name="Gender" numFmtId="0">
      <sharedItems containsBlank="1" count="3">
        <s v="Female"/>
        <s v="Male"/>
        <m/>
      </sharedItems>
    </cacheField>
    <cacheField name="Entry Date" numFmtId="164">
      <sharedItems containsNonDate="0" containsDate="1" containsString="0" containsBlank="1" minDate="2009-11-05T00:00:00" maxDate="2020-01-06T00:00:00"/>
    </cacheField>
    <cacheField name="Hire Source" numFmtId="164">
      <sharedItems containsBlank="1" count="8">
        <s v="Internal Referral"/>
        <s v="Online Portal"/>
        <s v="Career Fairs"/>
        <s v="Recruiting Agency"/>
        <s v="Organic"/>
        <s v="Job Boards"/>
        <m/>
        <s v="Career Faris" u="1"/>
      </sharedItems>
    </cacheField>
    <cacheField name="Location" numFmtId="0">
      <sharedItems containsBlank="1" count="7">
        <s v="Austin"/>
        <s v="Miami"/>
        <s v="Seattle"/>
        <s v="San Diego"/>
        <s v="New York"/>
        <s v="Denver"/>
        <m/>
      </sharedItems>
    </cacheField>
    <cacheField name="Department" numFmtId="0">
      <sharedItems containsBlank="1" count="18">
        <s v="Sales"/>
        <s v="Administrative"/>
        <s v="IT"/>
        <s v="Marketing"/>
        <s v="Accounting and Finance"/>
        <s v="Production"/>
        <s v="Human Resources"/>
        <s v="Legal"/>
        <s v="Logistics"/>
        <s v="Purchase"/>
        <s v="Operations"/>
        <s v="Research"/>
        <s v="Customer Service"/>
        <m/>
        <s v="Planning" u="1"/>
        <s v="HR" u="1"/>
        <s v="Directive" u="1"/>
        <s v="R&amp;D" u="1"/>
      </sharedItems>
    </cacheField>
    <cacheField name="Contract Type" numFmtId="0">
      <sharedItems containsBlank="1" count="4">
        <s v="Part-Time"/>
        <s v="Full-Time"/>
        <s v="Hourly Rate"/>
        <m/>
      </sharedItems>
    </cacheField>
    <cacheField name="Role" numFmtId="0">
      <sharedItems containsBlank="1" count="21">
        <s v="Sales"/>
        <s v="Accountant"/>
        <s v="Other"/>
        <s v="Team Leader"/>
        <s v="Finance manager"/>
        <s v="CEO"/>
        <s v="Copywriter"/>
        <s v="Receptionist"/>
        <s v="Designer"/>
        <s v="Developer"/>
        <s v="Office manager"/>
        <s v="Human Resources"/>
        <s v="Marketing manager"/>
        <s v="Operations"/>
        <s v="Legal manager"/>
        <s v="Quality control, safety, environmental manager"/>
        <s v="Purchasing manager"/>
        <s v="CMO"/>
        <s v="CFO"/>
        <s v="COO"/>
        <m/>
      </sharedItems>
    </cacheField>
    <cacheField name="Exit Date" numFmtId="164">
      <sharedItems containsDate="1" containsBlank="1" containsMixedTypes="1" minDate="2016-02-27T00:00:00" maxDate="2019-08-14T00:00:00"/>
    </cacheField>
    <cacheField name="Exit Reason" numFmtId="0">
      <sharedItems containsBlank="1"/>
    </cacheField>
    <cacheField name="Exit Type" numFmtId="0">
      <sharedItems containsBlank="1"/>
    </cacheField>
    <cacheField name="Tenure" numFmtId="165">
      <sharedItems containsMixedTypes="1" containsNumber="1" minValue="0.16986301369863013" maxValue="9.4602739726027405"/>
    </cacheField>
    <cacheField name="Age" numFmtId="1">
      <sharedItems containsMixedTypes="1" containsNumber="1" minValue="22.13150684931507" maxValue="45.164383561643838"/>
    </cacheField>
    <cacheField name="Year Entry" numFmtId="1">
      <sharedItems containsSemiMixedTypes="0" containsString="0" containsNumber="1" containsInteger="1" minValue="1900" maxValue="2020" count="13">
        <n v="2016"/>
        <n v="2018"/>
        <n v="2017"/>
        <n v="2011"/>
        <n v="2012"/>
        <n v="2013"/>
        <n v="2010"/>
        <n v="2015"/>
        <n v="2014"/>
        <n v="2020"/>
        <n v="2009"/>
        <n v="2019"/>
        <n v="1900"/>
      </sharedItems>
    </cacheField>
    <cacheField name="Month Entry" numFmtId="1">
      <sharedItems containsSemiMixedTypes="0" containsString="0" containsNumber="1" containsInteger="1" minValue="1" maxValue="12"/>
    </cacheField>
    <cacheField name="Year Exit" numFmtId="1">
      <sharedItems containsMixedTypes="1" containsNumber="1" containsInteger="1" minValue="1900" maxValue="2019"/>
    </cacheField>
    <cacheField name="Month Exit" numFmtId="1">
      <sharedItems containsMixedTypes="1" containsNumber="1" containsInteger="1" minValue="1" maxValue="11"/>
    </cacheField>
  </cacheFields>
  <extLst>
    <ext xmlns:x14="http://schemas.microsoft.com/office/spreadsheetml/2009/9/main" uri="{725AE2AE-9491-48be-B2B4-4EB974FC3084}">
      <x14:pivotCacheDefinition pivotCacheId="1535697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1"/>
    <s v="Employee No. 1"/>
    <s v="employee 1@company.com"/>
    <s v="555-555555"/>
    <d v="1981-02-07T00:00:00"/>
    <x v="0"/>
    <d v="2016-08-20T00:00:00"/>
    <x v="0"/>
    <x v="0"/>
    <x v="0"/>
    <x v="0"/>
    <x v="0"/>
    <d v="2018-07-29T00:00:00"/>
    <m/>
    <s v="Voluntary"/>
    <n v="1.9397260273972603"/>
    <n v="39.786301369863011"/>
    <x v="0"/>
    <n v="8"/>
    <n v="2018"/>
    <n v="7"/>
  </r>
  <r>
    <n v="2"/>
    <s v="Employee No. 2"/>
    <s v="employee 2@company.com"/>
    <s v="555-555555"/>
    <d v="1997-02-09T00:00:00"/>
    <x v="1"/>
    <d v="2018-06-30T00:00:00"/>
    <x v="1"/>
    <x v="1"/>
    <x v="1"/>
    <x v="0"/>
    <x v="1"/>
    <d v="2018-10-03T00:00:00"/>
    <m/>
    <s v="Voluntary"/>
    <n v="0.26027397260273971"/>
    <n v="23.769863013698629"/>
    <x v="1"/>
    <n v="6"/>
    <n v="2018"/>
    <n v="10"/>
  </r>
  <r>
    <n v="3"/>
    <s v="Employee No. 3"/>
    <s v="employee 3@company.com"/>
    <s v="555-555555"/>
    <d v="1993-01-25T00:00:00"/>
    <x v="1"/>
    <d v="2017-11-16T00:00:00"/>
    <x v="0"/>
    <x v="2"/>
    <x v="2"/>
    <x v="1"/>
    <x v="2"/>
    <s v=""/>
    <m/>
    <m/>
    <n v="2.989041095890411"/>
    <n v="27.813698630136987"/>
    <x v="2"/>
    <n v="11"/>
    <s v=""/>
    <s v=""/>
  </r>
  <r>
    <n v="4"/>
    <s v="Employee No. 4"/>
    <s v="employee 4@company.com"/>
    <s v="555-555555"/>
    <d v="1997-12-24T00:00:00"/>
    <x v="1"/>
    <d v="2011-05-24T00:00:00"/>
    <x v="2"/>
    <x v="0"/>
    <x v="3"/>
    <x v="1"/>
    <x v="3"/>
    <d v="2018-04-26T00:00:00"/>
    <m/>
    <s v="Voluntary"/>
    <n v="6.9287671232876713"/>
    <n v="22.898630136986302"/>
    <x v="3"/>
    <n v="5"/>
    <n v="2018"/>
    <n v="4"/>
  </r>
  <r>
    <n v="5"/>
    <s v="Employee No. 5"/>
    <s v="employee 5@company.com"/>
    <s v="555-555555"/>
    <d v="1988-08-23T00:00:00"/>
    <x v="0"/>
    <d v="2012-03-27T00:00:00"/>
    <x v="1"/>
    <x v="3"/>
    <x v="4"/>
    <x v="1"/>
    <x v="4"/>
    <d v="2018-03-04T00:00:00"/>
    <m/>
    <s v="Voluntary"/>
    <n v="5.9397260273972599"/>
    <n v="32.241095890410961"/>
    <x v="4"/>
    <n v="3"/>
    <n v="2018"/>
    <n v="3"/>
  </r>
  <r>
    <n v="6"/>
    <s v="Employee No. 6"/>
    <s v="employee 6@company.com"/>
    <s v="555-555555"/>
    <d v="1994-12-18T00:00:00"/>
    <x v="1"/>
    <d v="2013-05-12T00:00:00"/>
    <x v="2"/>
    <x v="3"/>
    <x v="1"/>
    <x v="1"/>
    <x v="5"/>
    <s v=""/>
    <m/>
    <m/>
    <n v="7.506849315068493"/>
    <n v="25.917808219178081"/>
    <x v="5"/>
    <n v="5"/>
    <s v=""/>
    <s v=""/>
  </r>
  <r>
    <n v="7"/>
    <s v="Employee No. 7"/>
    <s v="employee 7@company.com"/>
    <s v="555-555555"/>
    <d v="1990-08-18T00:00:00"/>
    <x v="0"/>
    <d v="2016-08-24T00:00:00"/>
    <x v="3"/>
    <x v="1"/>
    <x v="4"/>
    <x v="1"/>
    <x v="6"/>
    <s v=""/>
    <m/>
    <m/>
    <n v="4.2191780821917808"/>
    <n v="30.254794520547946"/>
    <x v="0"/>
    <n v="8"/>
    <s v=""/>
    <s v=""/>
  </r>
  <r>
    <n v="8"/>
    <s v="Employee No. 8"/>
    <s v="employee 8@company.com"/>
    <s v="555-555555"/>
    <d v="1991-04-03T00:00:00"/>
    <x v="0"/>
    <d v="2017-11-27T00:00:00"/>
    <x v="0"/>
    <x v="1"/>
    <x v="1"/>
    <x v="1"/>
    <x v="7"/>
    <s v=""/>
    <m/>
    <m/>
    <n v="2.9589041095890409"/>
    <n v="29.63013698630137"/>
    <x v="2"/>
    <n v="11"/>
    <s v=""/>
    <s v=""/>
  </r>
  <r>
    <n v="9"/>
    <s v="Employee No. 9"/>
    <s v="employee 9@company.com"/>
    <s v="555-555555"/>
    <d v="1993-09-06T00:00:00"/>
    <x v="1"/>
    <d v="2010-04-03T00:00:00"/>
    <x v="3"/>
    <x v="3"/>
    <x v="5"/>
    <x v="2"/>
    <x v="2"/>
    <d v="2016-08-03T00:00:00"/>
    <m/>
    <s v="Involuntary"/>
    <n v="6.3397260273972602"/>
    <n v="27.2"/>
    <x v="6"/>
    <n v="4"/>
    <n v="2016"/>
    <n v="8"/>
  </r>
  <r>
    <n v="10"/>
    <s v="Employee No. 10"/>
    <s v="employee 10@company.com"/>
    <s v="555-555555"/>
    <d v="1987-08-03T00:00:00"/>
    <x v="1"/>
    <d v="2013-03-25T00:00:00"/>
    <x v="2"/>
    <x v="3"/>
    <x v="3"/>
    <x v="2"/>
    <x v="8"/>
    <d v="2018-04-04T00:00:00"/>
    <m/>
    <s v="Voluntary"/>
    <n v="5.0301369863013701"/>
    <n v="33.298630136986304"/>
    <x v="5"/>
    <n v="3"/>
    <n v="2018"/>
    <n v="4"/>
  </r>
  <r>
    <n v="11"/>
    <s v="Employee No. 11"/>
    <s v="employee 11@company.com"/>
    <s v="555-555555"/>
    <d v="1977-08-11T00:00:00"/>
    <x v="1"/>
    <d v="2013-08-29T00:00:00"/>
    <x v="0"/>
    <x v="4"/>
    <x v="2"/>
    <x v="1"/>
    <x v="9"/>
    <s v=""/>
    <m/>
    <m/>
    <n v="7.2082191780821914"/>
    <n v="43.282191780821918"/>
    <x v="5"/>
    <n v="8"/>
    <s v=""/>
    <s v=""/>
  </r>
  <r>
    <n v="12"/>
    <s v="Employee No. 12"/>
    <s v="employee 12@company.com"/>
    <s v="555-555555"/>
    <d v="1996-07-23T00:00:00"/>
    <x v="0"/>
    <d v="2013-07-27T00:00:00"/>
    <x v="2"/>
    <x v="2"/>
    <x v="1"/>
    <x v="0"/>
    <x v="10"/>
    <s v=""/>
    <m/>
    <m/>
    <n v="7.2986301369863016"/>
    <n v="24.32054794520548"/>
    <x v="5"/>
    <n v="7"/>
    <s v=""/>
    <s v=""/>
  </r>
  <r>
    <n v="13"/>
    <s v="Employee No. 13"/>
    <s v="employee 13@company.com"/>
    <s v="555-555555"/>
    <d v="1984-04-10T00:00:00"/>
    <x v="1"/>
    <d v="2013-08-26T00:00:00"/>
    <x v="3"/>
    <x v="5"/>
    <x v="1"/>
    <x v="1"/>
    <x v="2"/>
    <d v="2017-11-13T00:00:00"/>
    <m/>
    <s v="Voluntary"/>
    <n v="4.2191780821917808"/>
    <n v="36.613698630136987"/>
    <x v="5"/>
    <n v="8"/>
    <n v="2017"/>
    <n v="11"/>
  </r>
  <r>
    <n v="14"/>
    <s v="Employee No. 14"/>
    <s v="employee 14@company.com"/>
    <s v="555-555555"/>
    <d v="1986-11-25T00:00:00"/>
    <x v="0"/>
    <d v="2015-04-01T00:00:00"/>
    <x v="3"/>
    <x v="2"/>
    <x v="4"/>
    <x v="0"/>
    <x v="1"/>
    <s v=""/>
    <m/>
    <m/>
    <n v="5.6191780821917812"/>
    <n v="33.986301369863014"/>
    <x v="7"/>
    <n v="4"/>
    <s v=""/>
    <s v=""/>
  </r>
  <r>
    <n v="15"/>
    <s v="Employee No. 15"/>
    <s v="employee 15@company.com"/>
    <s v="555-555555"/>
    <d v="1985-09-17T00:00:00"/>
    <x v="0"/>
    <d v="2014-01-14T00:00:00"/>
    <x v="4"/>
    <x v="0"/>
    <x v="6"/>
    <x v="1"/>
    <x v="11"/>
    <d v="2016-02-27T00:00:00"/>
    <m/>
    <s v="Involuntary"/>
    <n v="2.1205479452054794"/>
    <n v="35.175342465753424"/>
    <x v="8"/>
    <n v="1"/>
    <n v="2016"/>
    <n v="2"/>
  </r>
  <r>
    <n v="16"/>
    <s v="Employee No. 16"/>
    <s v="employee 16@company.com"/>
    <s v="555-555555"/>
    <d v="1978-06-02T00:00:00"/>
    <x v="0"/>
    <d v="2014-12-24T00:00:00"/>
    <x v="0"/>
    <x v="2"/>
    <x v="2"/>
    <x v="1"/>
    <x v="9"/>
    <s v=""/>
    <m/>
    <m/>
    <n v="5.8876712328767127"/>
    <n v="42.473972602739728"/>
    <x v="8"/>
    <n v="12"/>
    <s v=""/>
    <s v=""/>
  </r>
  <r>
    <n v="17"/>
    <s v="Employee No. 17"/>
    <s v="employee 17@company.com"/>
    <s v="555-555555"/>
    <d v="1978-04-28T00:00:00"/>
    <x v="0"/>
    <d v="2013-12-06T00:00:00"/>
    <x v="5"/>
    <x v="1"/>
    <x v="3"/>
    <x v="1"/>
    <x v="0"/>
    <s v=""/>
    <m/>
    <m/>
    <n v="6.9369863013698634"/>
    <n v="42.56986301369863"/>
    <x v="5"/>
    <n v="12"/>
    <s v=""/>
    <s v=""/>
  </r>
  <r>
    <n v="18"/>
    <s v="Employee No. 18"/>
    <s v="employee 18@company.com"/>
    <s v="555-555555"/>
    <d v="1986-05-08T00:00:00"/>
    <x v="1"/>
    <d v="2020-01-05T00:00:00"/>
    <x v="3"/>
    <x v="5"/>
    <x v="3"/>
    <x v="1"/>
    <x v="3"/>
    <s v=""/>
    <m/>
    <m/>
    <n v="0.852054794520548"/>
    <n v="34.536986301369865"/>
    <x v="9"/>
    <n v="1"/>
    <s v=""/>
    <s v=""/>
  </r>
  <r>
    <n v="19"/>
    <s v="Employee No. 19"/>
    <s v="employee 19@company.com"/>
    <s v="555-555555"/>
    <d v="1995-11-05T00:00:00"/>
    <x v="0"/>
    <d v="2016-05-07T00:00:00"/>
    <x v="4"/>
    <x v="0"/>
    <x v="2"/>
    <x v="1"/>
    <x v="9"/>
    <s v=""/>
    <m/>
    <m/>
    <n v="4.5178082191780824"/>
    <n v="25.035616438356165"/>
    <x v="0"/>
    <n v="5"/>
    <s v=""/>
    <s v=""/>
  </r>
  <r>
    <n v="20"/>
    <s v="Employee No. 20"/>
    <s v="employee 20@company.com"/>
    <s v="555-555555"/>
    <d v="1988-08-14T00:00:00"/>
    <x v="1"/>
    <d v="2015-04-05T00:00:00"/>
    <x v="2"/>
    <x v="3"/>
    <x v="6"/>
    <x v="2"/>
    <x v="11"/>
    <d v="2017-11-16T00:00:00"/>
    <m/>
    <s v="Voluntary"/>
    <n v="2.6191780821917807"/>
    <n v="32.265753424657532"/>
    <x v="7"/>
    <n v="4"/>
    <n v="2017"/>
    <n v="11"/>
  </r>
  <r>
    <n v="21"/>
    <s v="Employee No. 21"/>
    <s v="employee 21@company.com"/>
    <s v="555-555555"/>
    <d v="1975-12-19T00:00:00"/>
    <x v="1"/>
    <d v="2017-06-09T00:00:00"/>
    <x v="0"/>
    <x v="1"/>
    <x v="3"/>
    <x v="0"/>
    <x v="12"/>
    <s v=""/>
    <m/>
    <m/>
    <n v="3.4273972602739726"/>
    <n v="44.92876712328767"/>
    <x v="2"/>
    <n v="6"/>
    <s v=""/>
    <s v=""/>
  </r>
  <r>
    <n v="22"/>
    <s v="Employee No. 22"/>
    <s v="employee 22@company.com"/>
    <s v="555-555555"/>
    <d v="1979-05-01T00:00:00"/>
    <x v="0"/>
    <d v="2017-09-26T00:00:00"/>
    <x v="0"/>
    <x v="0"/>
    <x v="2"/>
    <x v="1"/>
    <x v="13"/>
    <s v=""/>
    <m/>
    <m/>
    <n v="3.128767123287671"/>
    <n v="41.561643835616437"/>
    <x v="2"/>
    <n v="9"/>
    <s v=""/>
    <s v=""/>
  </r>
  <r>
    <n v="23"/>
    <s v="Employee No. 23"/>
    <s v="employee 23@company.com"/>
    <s v="555-555555"/>
    <d v="1983-06-14T00:00:00"/>
    <x v="0"/>
    <d v="2016-03-06T00:00:00"/>
    <x v="5"/>
    <x v="2"/>
    <x v="6"/>
    <x v="2"/>
    <x v="11"/>
    <d v="2017-10-29T00:00:00"/>
    <m/>
    <s v="Voluntary"/>
    <n v="1.6493150684931508"/>
    <n v="37.438356164383563"/>
    <x v="0"/>
    <n v="3"/>
    <n v="2017"/>
    <n v="10"/>
  </r>
  <r>
    <n v="24"/>
    <s v="Employee No. 24"/>
    <s v="employee 24@company.com"/>
    <s v="555-555555"/>
    <d v="1986-07-12T00:00:00"/>
    <x v="0"/>
    <d v="2016-01-04T00:00:00"/>
    <x v="0"/>
    <x v="5"/>
    <x v="2"/>
    <x v="2"/>
    <x v="9"/>
    <d v="2018-03-10T00:00:00"/>
    <m/>
    <s v="Voluntary"/>
    <n v="2.1808219178082191"/>
    <n v="34.358904109589041"/>
    <x v="0"/>
    <n v="1"/>
    <n v="2018"/>
    <n v="3"/>
  </r>
  <r>
    <n v="25"/>
    <s v="Employee No. 25"/>
    <s v="employee 25@company.com"/>
    <s v="555-555555"/>
    <d v="1984-12-11T00:00:00"/>
    <x v="0"/>
    <d v="2009-11-05T00:00:00"/>
    <x v="4"/>
    <x v="1"/>
    <x v="7"/>
    <x v="0"/>
    <x v="14"/>
    <d v="2019-04-20T00:00:00"/>
    <m/>
    <s v="Involuntary"/>
    <n v="9.4602739726027405"/>
    <n v="35.942465753424656"/>
    <x v="10"/>
    <n v="11"/>
    <n v="2019"/>
    <n v="4"/>
  </r>
  <r>
    <n v="26"/>
    <s v="Employee No. 26"/>
    <s v="employee 26@company.com"/>
    <s v="555-555555"/>
    <d v="1990-10-26T00:00:00"/>
    <x v="1"/>
    <d v="2011-12-28T00:00:00"/>
    <x v="4"/>
    <x v="0"/>
    <x v="0"/>
    <x v="1"/>
    <x v="0"/>
    <d v="2017-05-28T00:00:00"/>
    <m/>
    <s v="Voluntary"/>
    <n v="5.419178082191781"/>
    <n v="30.065753424657533"/>
    <x v="3"/>
    <n v="12"/>
    <n v="2017"/>
    <n v="5"/>
  </r>
  <r>
    <n v="27"/>
    <s v="Employee No. 27"/>
    <s v="employee 27@company.com"/>
    <s v="555-555555"/>
    <d v="1988-05-15T00:00:00"/>
    <x v="0"/>
    <d v="2014-05-01T00:00:00"/>
    <x v="3"/>
    <x v="2"/>
    <x v="0"/>
    <x v="1"/>
    <x v="0"/>
    <s v=""/>
    <m/>
    <m/>
    <n v="6.536986301369863"/>
    <n v="32.515068493150686"/>
    <x v="8"/>
    <n v="5"/>
    <s v=""/>
    <s v=""/>
  </r>
  <r>
    <n v="28"/>
    <s v="Employee No. 28"/>
    <s v="employee 28@company.com"/>
    <s v="555-555555"/>
    <d v="1986-05-25T00:00:00"/>
    <x v="0"/>
    <d v="2016-10-26T00:00:00"/>
    <x v="3"/>
    <x v="1"/>
    <x v="8"/>
    <x v="2"/>
    <x v="15"/>
    <s v=""/>
    <m/>
    <m/>
    <n v="4.0465753424657533"/>
    <n v="34.490410958904107"/>
    <x v="0"/>
    <n v="10"/>
    <s v=""/>
    <s v=""/>
  </r>
  <r>
    <n v="29"/>
    <s v="Employee No. 29"/>
    <s v="employee 29@company.com"/>
    <s v="555-555555"/>
    <d v="1995-10-29T00:00:00"/>
    <x v="1"/>
    <d v="2012-05-26T00:00:00"/>
    <x v="1"/>
    <x v="3"/>
    <x v="9"/>
    <x v="1"/>
    <x v="16"/>
    <d v="2017-05-21T00:00:00"/>
    <m/>
    <s v="Voluntary"/>
    <n v="4.9890410958904106"/>
    <n v="25.054794520547944"/>
    <x v="4"/>
    <n v="5"/>
    <n v="2017"/>
    <n v="5"/>
  </r>
  <r>
    <n v="30"/>
    <s v="Employee No. 30"/>
    <s v="employee 30@company.com"/>
    <s v="555-555555"/>
    <d v="1992-11-11T00:00:00"/>
    <x v="1"/>
    <d v="2014-07-22T00:00:00"/>
    <x v="2"/>
    <x v="4"/>
    <x v="3"/>
    <x v="2"/>
    <x v="17"/>
    <d v="2016-03-04T00:00:00"/>
    <m/>
    <s v="Voluntary"/>
    <n v="1.6191780821917807"/>
    <n v="28.019178082191782"/>
    <x v="8"/>
    <n v="7"/>
    <n v="2016"/>
    <n v="3"/>
  </r>
  <r>
    <n v="31"/>
    <s v="Employee No. 31"/>
    <s v="employee 31@company.com"/>
    <s v="555-555555"/>
    <d v="1993-05-21T00:00:00"/>
    <x v="0"/>
    <d v="2017-09-15T00:00:00"/>
    <x v="5"/>
    <x v="3"/>
    <x v="1"/>
    <x v="0"/>
    <x v="18"/>
    <s v=""/>
    <m/>
    <m/>
    <n v="3.1589041095890411"/>
    <n v="27.495890410958904"/>
    <x v="2"/>
    <n v="9"/>
    <s v=""/>
    <s v=""/>
  </r>
  <r>
    <n v="32"/>
    <s v="Employee No. 32"/>
    <s v="employee 32@company.com"/>
    <s v="555-555555"/>
    <d v="1992-07-09T00:00:00"/>
    <x v="1"/>
    <d v="2014-07-22T00:00:00"/>
    <x v="4"/>
    <x v="2"/>
    <x v="4"/>
    <x v="1"/>
    <x v="1"/>
    <d v="2018-01-16T00:00:00"/>
    <m/>
    <s v="Voluntary"/>
    <n v="3.4904109589041097"/>
    <n v="28.361643835616437"/>
    <x v="8"/>
    <n v="7"/>
    <n v="2018"/>
    <n v="1"/>
  </r>
  <r>
    <n v="33"/>
    <s v="Employee No. 33"/>
    <s v="employee 33@company.com"/>
    <s v="555-555555"/>
    <d v="1983-04-22T00:00:00"/>
    <x v="1"/>
    <d v="2013-04-14T00:00:00"/>
    <x v="2"/>
    <x v="3"/>
    <x v="1"/>
    <x v="0"/>
    <x v="19"/>
    <d v="2017-11-07T00:00:00"/>
    <m/>
    <s v="Voluntary"/>
    <n v="4.5698630136986305"/>
    <n v="37.583561643835615"/>
    <x v="5"/>
    <n v="4"/>
    <n v="2017"/>
    <n v="11"/>
  </r>
  <r>
    <n v="34"/>
    <s v="Employee No. 34"/>
    <s v="employee 34@company.com"/>
    <s v="555-555555"/>
    <d v="1998-09-30T00:00:00"/>
    <x v="0"/>
    <d v="2013-05-22T00:00:00"/>
    <x v="0"/>
    <x v="3"/>
    <x v="10"/>
    <x v="1"/>
    <x v="13"/>
    <d v="2017-06-05T00:00:00"/>
    <m/>
    <s v="Involuntary"/>
    <n v="4.0410958904109586"/>
    <n v="22.13150684931507"/>
    <x v="5"/>
    <n v="5"/>
    <n v="2017"/>
    <n v="6"/>
  </r>
  <r>
    <n v="35"/>
    <s v="Employee No. 35"/>
    <s v="employee 35@company.com"/>
    <s v="555-555555"/>
    <d v="1977-03-03T00:00:00"/>
    <x v="0"/>
    <d v="2015-01-08T00:00:00"/>
    <x v="3"/>
    <x v="0"/>
    <x v="11"/>
    <x v="1"/>
    <x v="3"/>
    <s v=""/>
    <m/>
    <m/>
    <n v="5.8465753424657532"/>
    <n v="43.723287671232875"/>
    <x v="7"/>
    <n v="1"/>
    <s v=""/>
    <s v=""/>
  </r>
  <r>
    <n v="36"/>
    <s v="Employee No. 36"/>
    <s v="employee 36@company.com"/>
    <s v="555-555555"/>
    <d v="1978-11-14T00:00:00"/>
    <x v="0"/>
    <d v="2017-01-21T00:00:00"/>
    <x v="4"/>
    <x v="2"/>
    <x v="10"/>
    <x v="2"/>
    <x v="20"/>
    <d v="2017-10-14T00:00:00"/>
    <m/>
    <s v="Voluntary"/>
    <n v="0.72876712328767124"/>
    <n v="42.021917808219179"/>
    <x v="2"/>
    <n v="1"/>
    <n v="2017"/>
    <n v="10"/>
  </r>
  <r>
    <n v="37"/>
    <s v="Employee No. 37"/>
    <s v="employee 37@company.com"/>
    <s v="555-555555"/>
    <d v="1992-03-05T00:00:00"/>
    <x v="0"/>
    <d v="2018-11-20T00:00:00"/>
    <x v="2"/>
    <x v="2"/>
    <x v="8"/>
    <x v="0"/>
    <x v="20"/>
    <s v=""/>
    <m/>
    <m/>
    <n v="1.978082191780822"/>
    <n v="28.706849315068492"/>
    <x v="1"/>
    <n v="11"/>
    <s v=""/>
    <s v=""/>
  </r>
  <r>
    <n v="38"/>
    <s v="Employee No. 38"/>
    <s v="employee 38@company.com"/>
    <s v="555-555555"/>
    <d v="1988-11-24T00:00:00"/>
    <x v="1"/>
    <d v="2011-07-05T00:00:00"/>
    <x v="5"/>
    <x v="0"/>
    <x v="3"/>
    <x v="1"/>
    <x v="20"/>
    <d v="2016-06-26T00:00:00"/>
    <m/>
    <s v="Voluntary"/>
    <n v="4.9808219178082194"/>
    <n v="31.986301369863014"/>
    <x v="3"/>
    <n v="7"/>
    <n v="2016"/>
    <n v="6"/>
  </r>
  <r>
    <n v="39"/>
    <s v="Employee No. 39"/>
    <s v="employee 39@company.com"/>
    <s v="555-555555"/>
    <d v="1988-04-27T00:00:00"/>
    <x v="0"/>
    <d v="2017-12-09T00:00:00"/>
    <x v="1"/>
    <x v="4"/>
    <x v="10"/>
    <x v="2"/>
    <x v="20"/>
    <d v="2018-02-09T00:00:00"/>
    <m/>
    <s v="Involuntary"/>
    <n v="0.16986301369863013"/>
    <n v="32.564383561643837"/>
    <x v="2"/>
    <n v="12"/>
    <n v="2018"/>
    <n v="2"/>
  </r>
  <r>
    <n v="40"/>
    <s v="Employee No. 40"/>
    <s v="employee 40@company.com"/>
    <s v="555-555555"/>
    <d v="1994-12-11T00:00:00"/>
    <x v="0"/>
    <d v="2017-10-17T00:00:00"/>
    <x v="1"/>
    <x v="0"/>
    <x v="8"/>
    <x v="2"/>
    <x v="20"/>
    <d v="2018-11-12T00:00:00"/>
    <m/>
    <s v="Voluntary"/>
    <n v="1.0712328767123287"/>
    <n v="25.936986301369863"/>
    <x v="2"/>
    <n v="10"/>
    <n v="2018"/>
    <n v="11"/>
  </r>
  <r>
    <n v="41"/>
    <s v="Employee No. 41"/>
    <s v="employee 41@company.com"/>
    <s v="555-555555"/>
    <d v="1977-04-30T00:00:00"/>
    <x v="0"/>
    <d v="2014-06-11T00:00:00"/>
    <x v="5"/>
    <x v="4"/>
    <x v="7"/>
    <x v="0"/>
    <x v="20"/>
    <d v="2018-05-08T00:00:00"/>
    <m/>
    <s v="Voluntary"/>
    <n v="3.9095890410958902"/>
    <n v="43.564383561643837"/>
    <x v="8"/>
    <n v="6"/>
    <n v="2018"/>
    <n v="5"/>
  </r>
  <r>
    <n v="42"/>
    <s v="Employee No. 42"/>
    <s v="employee 42@company.com"/>
    <s v="555-555555"/>
    <d v="1991-02-19T00:00:00"/>
    <x v="1"/>
    <d v="2017-03-10T00:00:00"/>
    <x v="3"/>
    <x v="1"/>
    <x v="2"/>
    <x v="1"/>
    <x v="20"/>
    <s v=""/>
    <m/>
    <m/>
    <n v="3.6767123287671235"/>
    <n v="29.747945205479454"/>
    <x v="2"/>
    <n v="3"/>
    <s v=""/>
    <s v=""/>
  </r>
  <r>
    <n v="43"/>
    <s v="Employee No. 43"/>
    <s v="employee 43@company.com"/>
    <s v="555-555555"/>
    <d v="1995-05-01T00:00:00"/>
    <x v="1"/>
    <d v="2012-05-28T00:00:00"/>
    <x v="5"/>
    <x v="1"/>
    <x v="12"/>
    <x v="1"/>
    <x v="20"/>
    <d v="2016-08-19T00:00:00"/>
    <m/>
    <s v="Voluntary"/>
    <n v="4.2301369863013702"/>
    <n v="25.550684931506851"/>
    <x v="4"/>
    <n v="5"/>
    <n v="2016"/>
    <n v="8"/>
  </r>
  <r>
    <n v="44"/>
    <s v="Employee No. 44"/>
    <s v="employee 44@company.com"/>
    <s v="555-555555"/>
    <d v="1982-07-30T00:00:00"/>
    <x v="1"/>
    <d v="2015-06-24T00:00:00"/>
    <x v="3"/>
    <x v="5"/>
    <x v="12"/>
    <x v="1"/>
    <x v="20"/>
    <s v=""/>
    <m/>
    <m/>
    <n v="5.3890410958904109"/>
    <n v="38.31232876712329"/>
    <x v="7"/>
    <n v="6"/>
    <s v=""/>
    <s v=""/>
  </r>
  <r>
    <n v="45"/>
    <s v="Employee No. 45"/>
    <s v="employee 45@company.com"/>
    <s v="555-555555"/>
    <d v="1990-10-16T00:00:00"/>
    <x v="0"/>
    <d v="2012-07-08T00:00:00"/>
    <x v="3"/>
    <x v="1"/>
    <x v="0"/>
    <x v="2"/>
    <x v="20"/>
    <d v="2016-03-19T00:00:00"/>
    <m/>
    <s v="Voluntary"/>
    <n v="3.6986301369863015"/>
    <n v="30.093150684931508"/>
    <x v="4"/>
    <n v="7"/>
    <n v="2016"/>
    <n v="3"/>
  </r>
  <r>
    <n v="46"/>
    <s v="Employee No. 46"/>
    <s v="employee 46@company.com"/>
    <s v="555-555555"/>
    <d v="1985-02-27T00:00:00"/>
    <x v="1"/>
    <d v="2014-07-05T00:00:00"/>
    <x v="5"/>
    <x v="0"/>
    <x v="12"/>
    <x v="0"/>
    <x v="20"/>
    <s v=""/>
    <m/>
    <m/>
    <n v="6.3589041095890408"/>
    <n v="35.728767123287675"/>
    <x v="8"/>
    <n v="7"/>
    <s v=""/>
    <s v=""/>
  </r>
  <r>
    <n v="47"/>
    <s v="Employee No. 47"/>
    <s v="employee 47@company.com"/>
    <s v="555-555555"/>
    <d v="1975-09-24T00:00:00"/>
    <x v="1"/>
    <d v="2014-05-25T00:00:00"/>
    <x v="2"/>
    <x v="4"/>
    <x v="0"/>
    <x v="1"/>
    <x v="20"/>
    <d v="2016-06-11T00:00:00"/>
    <m/>
    <s v="Voluntary"/>
    <n v="2.0493150684931507"/>
    <n v="45.164383561643838"/>
    <x v="8"/>
    <n v="5"/>
    <n v="2016"/>
    <n v="6"/>
  </r>
  <r>
    <n v="48"/>
    <s v="Employee No. 48"/>
    <s v="employee 48@company.com"/>
    <s v="555-555555"/>
    <d v="1976-12-17T00:00:00"/>
    <x v="0"/>
    <d v="2014-01-26T00:00:00"/>
    <x v="5"/>
    <x v="1"/>
    <x v="5"/>
    <x v="0"/>
    <x v="20"/>
    <s v=""/>
    <m/>
    <m/>
    <n v="6.7972602739726025"/>
    <n v="43.93150684931507"/>
    <x v="8"/>
    <n v="1"/>
    <s v=""/>
    <s v=""/>
  </r>
  <r>
    <n v="49"/>
    <s v="Employee No. 49"/>
    <s v="employee 49@company.com"/>
    <s v="555-555555"/>
    <d v="1993-09-29T00:00:00"/>
    <x v="0"/>
    <d v="2016-03-24T00:00:00"/>
    <x v="3"/>
    <x v="1"/>
    <x v="5"/>
    <x v="1"/>
    <x v="20"/>
    <s v=""/>
    <m/>
    <m/>
    <n v="4.6383561643835618"/>
    <n v="27.136986301369863"/>
    <x v="0"/>
    <n v="3"/>
    <s v=""/>
    <s v=""/>
  </r>
  <r>
    <n v="50"/>
    <s v="Employee No. 50"/>
    <s v="employee 50@company.com"/>
    <s v="555-555555"/>
    <d v="1981-06-28T00:00:00"/>
    <x v="0"/>
    <d v="2017-10-12T00:00:00"/>
    <x v="1"/>
    <x v="3"/>
    <x v="2"/>
    <x v="1"/>
    <x v="20"/>
    <d v="2018-04-16T00:00:00"/>
    <m/>
    <s v="Voluntary"/>
    <n v="0.50958904109589043"/>
    <n v="39.4"/>
    <x v="2"/>
    <n v="10"/>
    <n v="2018"/>
    <n v="4"/>
  </r>
  <r>
    <n v="51"/>
    <s v="Employee No. 51"/>
    <s v="employee 51@company.com"/>
    <s v="555-555555"/>
    <d v="1992-02-03T00:00:00"/>
    <x v="0"/>
    <d v="2015-02-17T00:00:00"/>
    <x v="5"/>
    <x v="4"/>
    <x v="9"/>
    <x v="1"/>
    <x v="20"/>
    <s v=""/>
    <m/>
    <m/>
    <n v="5.7369863013698632"/>
    <n v="28.791780821917808"/>
    <x v="7"/>
    <n v="2"/>
    <s v=""/>
    <s v=""/>
  </r>
  <r>
    <n v="52"/>
    <s v="Employee No. 52"/>
    <s v="employee 52@company.com"/>
    <s v="555-555555"/>
    <d v="1989-12-13T00:00:00"/>
    <x v="0"/>
    <d v="2015-01-22T00:00:00"/>
    <x v="3"/>
    <x v="1"/>
    <x v="3"/>
    <x v="2"/>
    <x v="20"/>
    <s v=""/>
    <m/>
    <m/>
    <n v="5.8082191780821919"/>
    <n v="30.934246575342467"/>
    <x v="7"/>
    <n v="1"/>
    <s v=""/>
    <s v=""/>
  </r>
  <r>
    <n v="53"/>
    <s v="Employee No. 53"/>
    <s v="employee 53@company.com"/>
    <s v="555-555555"/>
    <d v="1996-09-01T00:00:00"/>
    <x v="1"/>
    <d v="2013-09-02T00:00:00"/>
    <x v="1"/>
    <x v="0"/>
    <x v="9"/>
    <x v="1"/>
    <x v="20"/>
    <d v="2017-06-13T00:00:00"/>
    <m/>
    <s v="Voluntary"/>
    <n v="3.7808219178082192"/>
    <n v="24.210958904109589"/>
    <x v="5"/>
    <n v="9"/>
    <n v="2017"/>
    <n v="6"/>
  </r>
  <r>
    <n v="54"/>
    <s v="Employee No. 54"/>
    <s v="employee 54@company.com"/>
    <s v="555-555555"/>
    <d v="1983-06-07T00:00:00"/>
    <x v="1"/>
    <d v="2013-03-15T00:00:00"/>
    <x v="0"/>
    <x v="5"/>
    <x v="11"/>
    <x v="0"/>
    <x v="20"/>
    <d v="2018-07-20T00:00:00"/>
    <m/>
    <s v="Involuntary"/>
    <n v="5.3506849315068497"/>
    <n v="37.457534246575342"/>
    <x v="5"/>
    <n v="3"/>
    <n v="2018"/>
    <n v="7"/>
  </r>
  <r>
    <n v="55"/>
    <s v="Employee No. 55"/>
    <s v="employee 55@company.com"/>
    <s v="555-555555"/>
    <d v="1990-04-05T00:00:00"/>
    <x v="0"/>
    <d v="2013-12-09T00:00:00"/>
    <x v="3"/>
    <x v="5"/>
    <x v="4"/>
    <x v="1"/>
    <x v="20"/>
    <d v="2017-10-11T00:00:00"/>
    <m/>
    <s v="Voluntary"/>
    <n v="3.8410958904109589"/>
    <n v="30.624657534246577"/>
    <x v="5"/>
    <n v="12"/>
    <n v="2017"/>
    <n v="10"/>
  </r>
  <r>
    <n v="56"/>
    <s v="Employee No. 56"/>
    <s v="employee 56@company.com"/>
    <s v="555-555555"/>
    <d v="1986-10-16T00:00:00"/>
    <x v="0"/>
    <d v="2013-11-17T00:00:00"/>
    <x v="0"/>
    <x v="1"/>
    <x v="2"/>
    <x v="0"/>
    <x v="20"/>
    <d v="2019-08-13T00:00:00"/>
    <m/>
    <s v="Voluntary"/>
    <n v="5.7397260273972606"/>
    <n v="34.095890410958901"/>
    <x v="5"/>
    <n v="11"/>
    <n v="2019"/>
    <n v="8"/>
  </r>
  <r>
    <n v="57"/>
    <s v="Employee No. 57"/>
    <s v="employee 57@company.com"/>
    <s v="555-555555"/>
    <d v="1987-08-03T00:00:00"/>
    <x v="0"/>
    <d v="2019-02-05T00:00:00"/>
    <x v="2"/>
    <x v="2"/>
    <x v="12"/>
    <x v="1"/>
    <x v="20"/>
    <s v=""/>
    <m/>
    <m/>
    <n v="1.7671232876712328"/>
    <n v="33.298630136986304"/>
    <x v="11"/>
    <n v="2"/>
    <s v=""/>
    <s v=""/>
  </r>
  <r>
    <n v="58"/>
    <s v="Employee No. 58"/>
    <s v="employee 58@company.com"/>
    <s v="555-555555"/>
    <d v="1984-12-20T00:00:00"/>
    <x v="1"/>
    <d v="2018-06-23T00:00:00"/>
    <x v="5"/>
    <x v="5"/>
    <x v="2"/>
    <x v="1"/>
    <x v="20"/>
    <d v="2019-01-28T00:00:00"/>
    <m/>
    <s v="Voluntary"/>
    <n v="0.6"/>
    <n v="35.917808219178085"/>
    <x v="1"/>
    <n v="6"/>
    <n v="2019"/>
    <n v="1"/>
  </r>
  <r>
    <n v="59"/>
    <s v="Employee No. 59"/>
    <s v="employee 59@company.com"/>
    <s v="555-555555"/>
    <d v="1976-04-22T00:00:00"/>
    <x v="1"/>
    <d v="2013-01-10T00:00:00"/>
    <x v="4"/>
    <x v="4"/>
    <x v="0"/>
    <x v="0"/>
    <x v="20"/>
    <d v="2017-11-04T00:00:00"/>
    <m/>
    <s v="Voluntary"/>
    <n v="4.8191780821917805"/>
    <n v="44.586301369863016"/>
    <x v="5"/>
    <n v="1"/>
    <n v="2017"/>
    <n v="11"/>
  </r>
  <r>
    <n v="60"/>
    <s v="Employee No. 60"/>
    <s v="employee 60@company.com"/>
    <s v="555-555555"/>
    <d v="1998-02-21T00:00:00"/>
    <x v="0"/>
    <d v="2019-11-03T00:00:00"/>
    <x v="3"/>
    <x v="1"/>
    <x v="4"/>
    <x v="1"/>
    <x v="20"/>
    <s v=""/>
    <m/>
    <m/>
    <n v="1.0246575342465754"/>
    <n v="22.736986301369864"/>
    <x v="11"/>
    <n v="11"/>
    <s v=""/>
    <s v=""/>
  </r>
  <r>
    <n v="61"/>
    <s v="Employee No. 61"/>
    <s v="employee 61@company.com"/>
    <s v="555-555555"/>
    <d v="1993-08-05T00:00:00"/>
    <x v="0"/>
    <d v="2014-05-02T00:00:00"/>
    <x v="4"/>
    <x v="0"/>
    <x v="1"/>
    <x v="2"/>
    <x v="20"/>
    <d v="2016-06-10T00:00:00"/>
    <s v="Discipline"/>
    <s v="Involuntary"/>
    <n v="2.1095890410958904"/>
    <n v="27.287671232876711"/>
    <x v="8"/>
    <n v="5"/>
    <n v="2016"/>
    <n v="6"/>
  </r>
  <r>
    <n v="62"/>
    <s v="Employee No. 62"/>
    <s v="employee 62@company.com"/>
    <s v="555-555555"/>
    <d v="1977-03-15T00:00:00"/>
    <x v="0"/>
    <d v="2014-07-31T00:00:00"/>
    <x v="4"/>
    <x v="4"/>
    <x v="11"/>
    <x v="1"/>
    <x v="20"/>
    <d v="2018-09-04T00:00:00"/>
    <s v="Personal"/>
    <s v="Voluntary"/>
    <n v="4.0986301369863014"/>
    <n v="43.69041095890411"/>
    <x v="8"/>
    <n v="7"/>
    <n v="2018"/>
    <n v="9"/>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r>
    <m/>
    <m/>
    <m/>
    <m/>
    <m/>
    <x v="2"/>
    <m/>
    <x v="6"/>
    <x v="6"/>
    <x v="13"/>
    <x v="3"/>
    <x v="20"/>
    <m/>
    <m/>
    <m/>
    <s v=""/>
    <s v=""/>
    <x v="12"/>
    <n v="1"/>
    <n v="190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76EB36-2435-40F2-8913-53AD5F7725FF}" name="PivotTable2"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23:D26" firstHeaderRow="1" firstDataRow="1" firstDataCol="1"/>
  <pivotFields count="21">
    <pivotField dataField="1" showAll="0"/>
    <pivotField showAll="0"/>
    <pivotField showAll="0"/>
    <pivotField showAll="0"/>
    <pivotField showAll="0"/>
    <pivotField axis="axisRow" showAll="0">
      <items count="4">
        <item x="0"/>
        <item x="1"/>
        <item x="2"/>
        <item t="default"/>
      </items>
    </pivotField>
    <pivotField showAll="0"/>
    <pivotField showAll="0"/>
    <pivotField showAll="0">
      <items count="8">
        <item x="0"/>
        <item x="5"/>
        <item x="1"/>
        <item x="4"/>
        <item x="3"/>
        <item x="2"/>
        <item h="1" x="6"/>
        <item t="default"/>
      </items>
    </pivotField>
    <pivotField showAll="0">
      <items count="19">
        <item x="4"/>
        <item x="1"/>
        <item x="12"/>
        <item h="1" m="1" x="16"/>
        <item h="1" m="1" x="15"/>
        <item x="6"/>
        <item x="2"/>
        <item x="7"/>
        <item x="8"/>
        <item x="3"/>
        <item x="10"/>
        <item h="1" m="1" x="14"/>
        <item x="5"/>
        <item x="9"/>
        <item h="1" m="1" x="17"/>
        <item x="11"/>
        <item x="0"/>
        <item h="1" x="13"/>
        <item t="default"/>
      </items>
    </pivotField>
    <pivotField showAll="0">
      <items count="5">
        <item x="1"/>
        <item x="2"/>
        <item x="0"/>
        <item x="3"/>
        <item t="default"/>
      </items>
    </pivotField>
    <pivotField showAll="0">
      <items count="22">
        <item x="1"/>
        <item x="5"/>
        <item x="18"/>
        <item x="17"/>
        <item x="19"/>
        <item x="6"/>
        <item x="8"/>
        <item x="9"/>
        <item x="4"/>
        <item x="11"/>
        <item x="14"/>
        <item x="12"/>
        <item x="10"/>
        <item x="13"/>
        <item x="2"/>
        <item x="16"/>
        <item x="15"/>
        <item x="7"/>
        <item x="0"/>
        <item x="3"/>
        <item x="20"/>
        <item t="default"/>
      </items>
    </pivotField>
    <pivotField showAll="0"/>
    <pivotField showAll="0"/>
    <pivotField showAll="0"/>
    <pivotField showAll="0"/>
    <pivotField showAll="0"/>
    <pivotField numFmtId="1" showAll="0"/>
    <pivotField numFmtId="1" showAll="0"/>
    <pivotField showAll="0"/>
    <pivotField showAll="0"/>
  </pivotFields>
  <rowFields count="1">
    <field x="5"/>
  </rowFields>
  <rowItems count="3">
    <i>
      <x/>
    </i>
    <i>
      <x v="1"/>
    </i>
    <i t="grand">
      <x/>
    </i>
  </rowItems>
  <colItems count="1">
    <i/>
  </colItems>
  <dataFields count="1">
    <dataField name="Count of ID" fld="0" subtotal="count" baseField="5"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D17C8B-795C-43BF-8254-5313D9E1EEBB}" name="PivotTable8"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D43:E51" firstHeaderRow="1" firstDataRow="1" firstDataCol="1"/>
  <pivotFields count="21">
    <pivotField dataField="1" showAll="0"/>
    <pivotField showAll="0"/>
    <pivotField showAll="0"/>
    <pivotField showAll="0"/>
    <pivotField showAll="0"/>
    <pivotField showAll="0"/>
    <pivotField showAll="0"/>
    <pivotField axis="axisRow" showAll="0">
      <items count="9">
        <item m="1" x="7"/>
        <item x="0"/>
        <item x="5"/>
        <item x="1"/>
        <item x="4"/>
        <item x="3"/>
        <item x="6"/>
        <item x="2"/>
        <item t="default"/>
      </items>
    </pivotField>
    <pivotField showAll="0"/>
    <pivotField showAll="0"/>
    <pivotField showAll="0"/>
    <pivotField showAll="0">
      <items count="22">
        <item x="1"/>
        <item x="5"/>
        <item x="18"/>
        <item x="17"/>
        <item x="19"/>
        <item x="6"/>
        <item x="8"/>
        <item x="9"/>
        <item x="4"/>
        <item x="11"/>
        <item x="14"/>
        <item x="12"/>
        <item x="10"/>
        <item x="13"/>
        <item x="2"/>
        <item x="16"/>
        <item x="15"/>
        <item x="7"/>
        <item x="0"/>
        <item x="3"/>
        <item x="20"/>
        <item t="default"/>
      </items>
    </pivotField>
    <pivotField showAll="0"/>
    <pivotField showAll="0"/>
    <pivotField showAll="0"/>
    <pivotField showAll="0"/>
    <pivotField showAll="0"/>
    <pivotField numFmtId="1" showAll="0"/>
    <pivotField numFmtId="1" showAll="0"/>
    <pivotField showAll="0"/>
    <pivotField showAll="0"/>
  </pivotFields>
  <rowFields count="1">
    <field x="7"/>
  </rowFields>
  <rowItems count="8">
    <i>
      <x v="1"/>
    </i>
    <i>
      <x v="2"/>
    </i>
    <i>
      <x v="3"/>
    </i>
    <i>
      <x v="4"/>
    </i>
    <i>
      <x v="5"/>
    </i>
    <i>
      <x v="6"/>
    </i>
    <i>
      <x v="7"/>
    </i>
    <i t="grand">
      <x/>
    </i>
  </rowItems>
  <colItems count="1">
    <i/>
  </colItems>
  <dataFields count="1">
    <dataField name="Count of ID" fld="0" subtotal="count" baseField="7"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 chart="0" format="5">
      <pivotArea type="data" outline="0" fieldPosition="0">
        <references count="2">
          <reference field="4294967294" count="1" selected="0">
            <x v="0"/>
          </reference>
          <reference field="7" count="1" selected="0">
            <x v="4"/>
          </reference>
        </references>
      </pivotArea>
    </chartFormat>
    <chartFormat chart="0" format="6">
      <pivotArea type="data" outline="0" fieldPosition="0">
        <references count="2">
          <reference field="4294967294" count="1" selected="0">
            <x v="0"/>
          </reference>
          <reference field="7" count="1" selected="0">
            <x v="5"/>
          </reference>
        </references>
      </pivotArea>
    </chartFormat>
    <chartFormat chart="0" format="7">
      <pivotArea type="data" outline="0" fieldPosition="0">
        <references count="2">
          <reference field="4294967294" count="1" selected="0">
            <x v="0"/>
          </reference>
          <reference field="7" count="1" selected="0">
            <x v="6"/>
          </reference>
        </references>
      </pivotArea>
    </chartFormat>
    <chartFormat chart="0" format="8">
      <pivotArea type="data" outline="0" fieldPosition="0">
        <references count="2">
          <reference field="4294967294" count="1" selected="0">
            <x v="0"/>
          </reference>
          <reference field="7"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47A43E-EBF0-4B70-9E4B-DD2147B8082E}" name="PivotTable6"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S7:T21" firstHeaderRow="1" firstDataRow="1" firstDataCol="1"/>
  <pivotFields count="21">
    <pivotField dataField="1" showAll="0"/>
    <pivotField showAll="0"/>
    <pivotField showAll="0"/>
    <pivotField showAll="0"/>
    <pivotField showAll="0"/>
    <pivotField showAll="0">
      <items count="4">
        <item x="0"/>
        <item x="1"/>
        <item x="2"/>
        <item t="default"/>
      </items>
    </pivotField>
    <pivotField showAll="0"/>
    <pivotField showAll="0"/>
    <pivotField showAll="0">
      <items count="8">
        <item x="0"/>
        <item x="5"/>
        <item x="1"/>
        <item x="4"/>
        <item x="3"/>
        <item x="2"/>
        <item h="1" x="6"/>
        <item t="default"/>
      </items>
    </pivotField>
    <pivotField axis="axisRow" showAll="0">
      <items count="19">
        <item h="1" m="1" x="16"/>
        <item h="1" m="1" x="15"/>
        <item x="3"/>
        <item h="1" m="1" x="14"/>
        <item h="1" m="1" x="17"/>
        <item x="0"/>
        <item h="1" x="13"/>
        <item x="1"/>
        <item x="2"/>
        <item x="4"/>
        <item x="5"/>
        <item x="6"/>
        <item x="7"/>
        <item x="8"/>
        <item x="9"/>
        <item x="10"/>
        <item x="11"/>
        <item x="12"/>
        <item t="default"/>
      </items>
    </pivotField>
    <pivotField showAll="0">
      <items count="5">
        <item x="1"/>
        <item x="2"/>
        <item x="0"/>
        <item x="3"/>
        <item t="default"/>
      </items>
    </pivotField>
    <pivotField showAll="0">
      <items count="22">
        <item x="1"/>
        <item x="5"/>
        <item x="18"/>
        <item x="17"/>
        <item x="19"/>
        <item x="6"/>
        <item x="8"/>
        <item x="9"/>
        <item x="4"/>
        <item x="11"/>
        <item x="14"/>
        <item x="12"/>
        <item x="10"/>
        <item x="13"/>
        <item x="2"/>
        <item x="16"/>
        <item x="15"/>
        <item x="7"/>
        <item x="0"/>
        <item x="3"/>
        <item x="20"/>
        <item t="default"/>
      </items>
    </pivotField>
    <pivotField showAll="0"/>
    <pivotField showAll="0"/>
    <pivotField showAll="0"/>
    <pivotField showAll="0"/>
    <pivotField showAll="0"/>
    <pivotField numFmtId="1" showAll="0"/>
    <pivotField numFmtId="1" showAll="0"/>
    <pivotField showAll="0"/>
    <pivotField showAll="0"/>
  </pivotFields>
  <rowFields count="1">
    <field x="9"/>
  </rowFields>
  <rowItems count="14">
    <i>
      <x v="2"/>
    </i>
    <i>
      <x v="5"/>
    </i>
    <i>
      <x v="7"/>
    </i>
    <i>
      <x v="8"/>
    </i>
    <i>
      <x v="9"/>
    </i>
    <i>
      <x v="10"/>
    </i>
    <i>
      <x v="11"/>
    </i>
    <i>
      <x v="12"/>
    </i>
    <i>
      <x v="13"/>
    </i>
    <i>
      <x v="14"/>
    </i>
    <i>
      <x v="15"/>
    </i>
    <i>
      <x v="16"/>
    </i>
    <i>
      <x v="17"/>
    </i>
    <i t="grand">
      <x/>
    </i>
  </rowItems>
  <colItems count="1">
    <i/>
  </colItems>
  <dataFields count="1">
    <dataField name="Count of ID" fld="0" subtotal="count" baseField="8" baseItem="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4"/>
          </reference>
        </references>
      </pivotArea>
    </chartFormat>
    <chartFormat chart="0" format="3">
      <pivotArea type="data" outline="0" fieldPosition="0">
        <references count="2">
          <reference field="4294967294" count="1" selected="0">
            <x v="0"/>
          </reference>
          <reference field="9" count="1" selected="0">
            <x v="3"/>
          </reference>
        </references>
      </pivotArea>
    </chartFormat>
    <chartFormat chart="0" format="4">
      <pivotArea type="data" outline="0" fieldPosition="0">
        <references count="2">
          <reference field="4294967294" count="1" selected="0">
            <x v="0"/>
          </reference>
          <reference field="9" count="1" selected="0">
            <x v="1"/>
          </reference>
        </references>
      </pivotArea>
    </chartFormat>
    <chartFormat chart="0" format="5">
      <pivotArea type="data" outline="0" fieldPosition="0">
        <references count="2">
          <reference field="4294967294" count="1" selected="0">
            <x v="0"/>
          </reference>
          <reference field="9" count="1" selected="0">
            <x v="2"/>
          </reference>
        </references>
      </pivotArea>
    </chartFormat>
    <chartFormat chart="0" format="6">
      <pivotArea type="data" outline="0" fieldPosition="0">
        <references count="2">
          <reference field="4294967294" count="1" selected="0">
            <x v="0"/>
          </reference>
          <reference field="9" count="1" selected="0">
            <x v="5"/>
          </reference>
        </references>
      </pivotArea>
    </chartFormat>
    <chartFormat chart="0" format="7">
      <pivotArea type="data" outline="0" fieldPosition="0">
        <references count="2">
          <reference field="4294967294" count="1" selected="0">
            <x v="0"/>
          </reference>
          <reference field="9" count="1" selected="0">
            <x v="6"/>
          </reference>
        </references>
      </pivotArea>
    </chartFormat>
    <chartFormat chart="0" format="8">
      <pivotArea type="data" outline="0" fieldPosition="0">
        <references count="2">
          <reference field="4294967294" count="1" selected="0">
            <x v="0"/>
          </reference>
          <reference field="9" count="1" selected="0">
            <x v="7"/>
          </reference>
        </references>
      </pivotArea>
    </chartFormat>
    <chartFormat chart="0" format="9">
      <pivotArea type="data" outline="0" fieldPosition="0">
        <references count="2">
          <reference field="4294967294" count="1" selected="0">
            <x v="0"/>
          </reference>
          <reference field="9" count="1" selected="0">
            <x v="8"/>
          </reference>
        </references>
      </pivotArea>
    </chartFormat>
    <chartFormat chart="0" format="10">
      <pivotArea type="data" outline="0" fieldPosition="0">
        <references count="2">
          <reference field="4294967294" count="1" selected="0">
            <x v="0"/>
          </reference>
          <reference field="9" count="1" selected="0">
            <x v="9"/>
          </reference>
        </references>
      </pivotArea>
    </chartFormat>
    <chartFormat chart="0" format="11">
      <pivotArea type="data" outline="0" fieldPosition="0">
        <references count="2">
          <reference field="4294967294" count="1" selected="0">
            <x v="0"/>
          </reference>
          <reference field="9" count="1" selected="0">
            <x v="10"/>
          </reference>
        </references>
      </pivotArea>
    </chartFormat>
    <chartFormat chart="0" format="12">
      <pivotArea type="data" outline="0" fieldPosition="0">
        <references count="2">
          <reference field="4294967294" count="1" selected="0">
            <x v="0"/>
          </reference>
          <reference field="9" count="1" selected="0">
            <x v="11"/>
          </reference>
        </references>
      </pivotArea>
    </chartFormat>
    <chartFormat chart="0" format="13">
      <pivotArea type="data" outline="0" fieldPosition="0">
        <references count="2">
          <reference field="4294967294" count="1" selected="0">
            <x v="0"/>
          </reference>
          <reference field="9" count="1" selected="0">
            <x v="12"/>
          </reference>
        </references>
      </pivotArea>
    </chartFormat>
    <chartFormat chart="0" format="14">
      <pivotArea type="data" outline="0" fieldPosition="0">
        <references count="2">
          <reference field="4294967294" count="1" selected="0">
            <x v="0"/>
          </reference>
          <reference field="9" count="1" selected="0">
            <x v="13"/>
          </reference>
        </references>
      </pivotArea>
    </chartFormat>
    <chartFormat chart="0" format="15">
      <pivotArea type="data" outline="0" fieldPosition="0">
        <references count="2">
          <reference field="4294967294" count="1" selected="0">
            <x v="0"/>
          </reference>
          <reference field="9" count="1" selected="0">
            <x v="14"/>
          </reference>
        </references>
      </pivotArea>
    </chartFormat>
    <chartFormat chart="0" format="16">
      <pivotArea type="data" outline="0" fieldPosition="0">
        <references count="2">
          <reference field="4294967294" count="1" selected="0">
            <x v="0"/>
          </reference>
          <reference field="9" count="1" selected="0">
            <x v="15"/>
          </reference>
        </references>
      </pivotArea>
    </chartFormat>
    <chartFormat chart="0" format="17">
      <pivotArea type="data" outline="0" fieldPosition="0">
        <references count="2">
          <reference field="4294967294" count="1" selected="0">
            <x v="0"/>
          </reference>
          <reference field="9" count="1" selected="0">
            <x v="16"/>
          </reference>
        </references>
      </pivotArea>
    </chartFormat>
    <chartFormat chart="0" format="18">
      <pivotArea type="data" outline="0" fieldPosition="0">
        <references count="2">
          <reference field="4294967294" count="1" selected="0">
            <x v="0"/>
          </reference>
          <reference field="9"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4EDEF0-D90F-45DE-BF83-4D3283E01B48}" name="PivotTable5"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P7:Q20" firstHeaderRow="1" firstDataRow="1" firstDataCol="1"/>
  <pivotFields count="21">
    <pivotField showAll="0"/>
    <pivotField showAll="0"/>
    <pivotField showAll="0"/>
    <pivotField showAll="0"/>
    <pivotField showAll="0"/>
    <pivotField showAll="0">
      <items count="4">
        <item x="0"/>
        <item x="1"/>
        <item x="2"/>
        <item t="default"/>
      </items>
    </pivotField>
    <pivotField dataField="1" showAll="0"/>
    <pivotField showAll="0">
      <items count="9">
        <item x="2"/>
        <item m="1" x="7"/>
        <item x="0"/>
        <item x="5"/>
        <item x="1"/>
        <item x="4"/>
        <item x="3"/>
        <item x="6"/>
        <item t="default"/>
      </items>
    </pivotField>
    <pivotField showAll="0">
      <items count="8">
        <item x="0"/>
        <item x="5"/>
        <item x="1"/>
        <item x="4"/>
        <item x="3"/>
        <item x="2"/>
        <item h="1" x="6"/>
        <item t="default"/>
      </items>
    </pivotField>
    <pivotField showAll="0">
      <items count="19">
        <item x="4"/>
        <item x="1"/>
        <item x="12"/>
        <item h="1" m="1" x="16"/>
        <item h="1" m="1" x="15"/>
        <item x="6"/>
        <item x="2"/>
        <item x="7"/>
        <item x="8"/>
        <item x="3"/>
        <item x="10"/>
        <item h="1" m="1" x="14"/>
        <item x="5"/>
        <item x="9"/>
        <item h="1" m="1" x="17"/>
        <item x="11"/>
        <item x="0"/>
        <item h="1" x="13"/>
        <item t="default"/>
      </items>
    </pivotField>
    <pivotField showAll="0">
      <items count="5">
        <item x="1"/>
        <item x="2"/>
        <item x="0"/>
        <item x="3"/>
        <item t="default"/>
      </items>
    </pivotField>
    <pivotField showAll="0">
      <items count="22">
        <item x="1"/>
        <item x="5"/>
        <item x="18"/>
        <item x="17"/>
        <item x="19"/>
        <item x="6"/>
        <item x="8"/>
        <item x="9"/>
        <item x="4"/>
        <item x="11"/>
        <item x="14"/>
        <item x="12"/>
        <item x="10"/>
        <item x="13"/>
        <item x="2"/>
        <item x="16"/>
        <item x="15"/>
        <item x="7"/>
        <item x="0"/>
        <item x="3"/>
        <item x="20"/>
        <item t="default"/>
      </items>
    </pivotField>
    <pivotField showAll="0"/>
    <pivotField showAll="0"/>
    <pivotField showAll="0"/>
    <pivotField showAll="0"/>
    <pivotField showAll="0"/>
    <pivotField axis="axisRow" numFmtId="1" showAll="0">
      <items count="14">
        <item h="1" x="12"/>
        <item x="10"/>
        <item x="6"/>
        <item x="3"/>
        <item x="4"/>
        <item x="5"/>
        <item x="8"/>
        <item x="7"/>
        <item x="0"/>
        <item x="2"/>
        <item x="1"/>
        <item x="11"/>
        <item x="9"/>
        <item t="default"/>
      </items>
    </pivotField>
    <pivotField numFmtId="1" showAll="0"/>
    <pivotField showAll="0"/>
    <pivotField showAll="0"/>
  </pivotFields>
  <rowFields count="1">
    <field x="17"/>
  </rowFields>
  <rowItems count="13">
    <i>
      <x v="1"/>
    </i>
    <i>
      <x v="2"/>
    </i>
    <i>
      <x v="3"/>
    </i>
    <i>
      <x v="4"/>
    </i>
    <i>
      <x v="5"/>
    </i>
    <i>
      <x v="6"/>
    </i>
    <i>
      <x v="7"/>
    </i>
    <i>
      <x v="8"/>
    </i>
    <i>
      <x v="9"/>
    </i>
    <i>
      <x v="10"/>
    </i>
    <i>
      <x v="11"/>
    </i>
    <i>
      <x v="12"/>
    </i>
    <i t="grand">
      <x/>
    </i>
  </rowItems>
  <colItems count="1">
    <i/>
  </colItems>
  <dataFields count="1">
    <dataField name="Count of Entry Date" fld="6"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9CF6A27-8F85-4551-A80E-6347C1F8B731}" name="PivotTable4" cacheId="4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I18:J25" firstHeaderRow="1" firstDataRow="1" firstDataCol="1"/>
  <pivotFields count="21">
    <pivotField dataField="1" showAll="0"/>
    <pivotField showAll="0"/>
    <pivotField showAll="0"/>
    <pivotField showAll="0"/>
    <pivotField showAll="0"/>
    <pivotField showAll="0">
      <items count="4">
        <item x="0"/>
        <item x="1"/>
        <item x="2"/>
        <item t="default"/>
      </items>
    </pivotField>
    <pivotField showAll="0"/>
    <pivotField showAll="0"/>
    <pivotField axis="axisRow" showAll="0">
      <items count="8">
        <item x="0"/>
        <item x="5"/>
        <item x="1"/>
        <item x="4"/>
        <item x="3"/>
        <item x="2"/>
        <item h="1" x="6"/>
        <item t="default"/>
      </items>
    </pivotField>
    <pivotField showAll="0">
      <items count="19">
        <item x="4"/>
        <item x="1"/>
        <item x="12"/>
        <item h="1" m="1" x="16"/>
        <item h="1" m="1" x="15"/>
        <item x="6"/>
        <item x="2"/>
        <item x="7"/>
        <item x="8"/>
        <item x="3"/>
        <item x="10"/>
        <item h="1" m="1" x="14"/>
        <item x="5"/>
        <item x="9"/>
        <item h="1" m="1" x="17"/>
        <item x="11"/>
        <item x="0"/>
        <item h="1" x="13"/>
        <item t="default"/>
      </items>
    </pivotField>
    <pivotField showAll="0">
      <items count="5">
        <item x="1"/>
        <item x="2"/>
        <item x="0"/>
        <item x="3"/>
        <item t="default"/>
      </items>
    </pivotField>
    <pivotField showAll="0">
      <items count="22">
        <item x="1"/>
        <item x="5"/>
        <item x="18"/>
        <item x="17"/>
        <item x="19"/>
        <item x="6"/>
        <item x="8"/>
        <item x="9"/>
        <item x="4"/>
        <item x="11"/>
        <item x="14"/>
        <item x="12"/>
        <item x="10"/>
        <item x="13"/>
        <item x="2"/>
        <item x="16"/>
        <item x="15"/>
        <item x="7"/>
        <item x="0"/>
        <item x="3"/>
        <item x="20"/>
        <item t="default"/>
      </items>
    </pivotField>
    <pivotField showAll="0"/>
    <pivotField showAll="0"/>
    <pivotField showAll="0"/>
    <pivotField showAll="0"/>
    <pivotField showAll="0"/>
    <pivotField numFmtId="1" showAll="0"/>
    <pivotField numFmtId="1" showAll="0"/>
    <pivotField showAll="0"/>
    <pivotField showAll="0"/>
  </pivotFields>
  <rowFields count="1">
    <field x="8"/>
  </rowFields>
  <rowItems count="7">
    <i>
      <x/>
    </i>
    <i>
      <x v="1"/>
    </i>
    <i>
      <x v="2"/>
    </i>
    <i>
      <x v="3"/>
    </i>
    <i>
      <x v="4"/>
    </i>
    <i>
      <x v="5"/>
    </i>
    <i t="grand">
      <x/>
    </i>
  </rowItems>
  <colItems count="1">
    <i/>
  </colItems>
  <dataFields count="1">
    <dataField name="Count of ID" fld="0" subtotal="count" baseField="7"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0A04D04-B8E7-479F-A460-A301C4A33EA3}" sourceName="Gender">
  <pivotTables>
    <pivotTable tabId="5" name="PivotTable5"/>
    <pivotTable tabId="5" name="PivotTable2"/>
    <pivotTable tabId="5" name="PivotTable4"/>
    <pivotTable tabId="5" name="PivotTable6"/>
  </pivotTables>
  <data>
    <tabular pivotCacheId="153569736">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E4A9A239-14EC-4F0A-9A14-B1AE0752AA5F}" sourceName="Location">
  <pivotTables>
    <pivotTable tabId="5" name="PivotTable5"/>
    <pivotTable tabId="5" name="PivotTable2"/>
    <pivotTable tabId="5" name="PivotTable4"/>
    <pivotTable tabId="5" name="PivotTable6"/>
  </pivotTables>
  <data>
    <tabular pivotCacheId="153569736">
      <items count="7">
        <i x="0" s="1"/>
        <i x="5" s="1"/>
        <i x="1" s="1"/>
        <i x="4" s="1"/>
        <i x="3" s="1"/>
        <i x="2" s="1"/>
        <i x="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22ED2F2-AB91-4458-A89C-556AD0B222BF}" sourceName="Department">
  <pivotTables>
    <pivotTable tabId="5" name="PivotTable5"/>
    <pivotTable tabId="5" name="PivotTable2"/>
    <pivotTable tabId="5" name="PivotTable4"/>
    <pivotTable tabId="5" name="PivotTable6"/>
  </pivotTables>
  <data>
    <tabular pivotCacheId="153569736">
      <items count="18">
        <i x="4" s="1"/>
        <i x="1" s="1"/>
        <i x="12" s="1"/>
        <i x="6" s="1"/>
        <i x="2" s="1"/>
        <i x="7" s="1"/>
        <i x="8" s="1"/>
        <i x="3" s="1"/>
        <i x="10" s="1"/>
        <i x="5" s="1"/>
        <i x="9" s="1"/>
        <i x="11" s="1"/>
        <i x="0" s="1"/>
        <i x="16" nd="1"/>
        <i x="15" nd="1"/>
        <i x="14" nd="1"/>
        <i x="17" nd="1"/>
        <i x="1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Type" xr10:uid="{E569DD01-C5EB-43DE-8EAB-8BDF2F730725}" sourceName="Contract Type">
  <pivotTables>
    <pivotTable tabId="5" name="PivotTable5"/>
    <pivotTable tabId="5" name="PivotTable2"/>
    <pivotTable tabId="5" name="PivotTable4"/>
    <pivotTable tabId="5" name="PivotTable6"/>
  </pivotTables>
  <data>
    <tabular pivotCacheId="153569736">
      <items count="4">
        <i x="1" s="1"/>
        <i x="2" s="1"/>
        <i x="0" s="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e_Source" xr10:uid="{BA8D17C1-D214-4E47-BB98-3DDAAD419A22}" sourceName="Hire Source">
  <pivotTables>
    <pivotTable tabId="5" name="PivotTable5"/>
  </pivotTables>
  <data>
    <tabular pivotCacheId="153569736">
      <items count="8">
        <i x="2" s="1"/>
        <i x="0" s="1"/>
        <i x="5" s="1"/>
        <i x="1" s="1"/>
        <i x="4" s="1"/>
        <i x="3" s="1"/>
        <i x="7" s="1" nd="1"/>
        <i x="6"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 xr10:uid="{46EFDF5C-65EA-4F38-85EB-6E7B94D4CE0F}" sourceName="Role">
  <pivotTables>
    <pivotTable tabId="5" name="PivotTable5"/>
    <pivotTable tabId="5" name="PivotTable2"/>
    <pivotTable tabId="5" name="PivotTable4"/>
    <pivotTable tabId="5" name="PivotTable6"/>
    <pivotTable tabId="5" name="PivotTable8"/>
  </pivotTables>
  <data>
    <tabular pivotCacheId="153569736">
      <items count="21">
        <i x="1" s="1"/>
        <i x="5" s="1"/>
        <i x="18" s="1"/>
        <i x="17" s="1"/>
        <i x="19" s="1"/>
        <i x="6" s="1"/>
        <i x="8" s="1"/>
        <i x="9" s="1"/>
        <i x="4" s="1"/>
        <i x="11" s="1"/>
        <i x="14" s="1"/>
        <i x="12" s="1"/>
        <i x="10" s="1"/>
        <i x="13" s="1"/>
        <i x="2" s="1"/>
        <i x="16" s="1"/>
        <i x="15" s="1"/>
        <i x="7" s="1"/>
        <i x="0" s="1"/>
        <i x="3" s="1"/>
        <i x="2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7C309E2E-EDF7-48C9-9B38-C295C2AAD15D}" cache="Slicer_Gender" caption="Gender" style="SlicerStyleLight3" rowHeight="241300"/>
  <slicer name="Location" xr10:uid="{53668BAE-60DE-4D79-8743-78FA8D839823}" cache="Slicer_Location" caption="Location" style="SlicerStyleLight3" rowHeight="241300"/>
  <slicer name="Department" xr10:uid="{3732FF7A-1C6B-481B-8245-37496555725E}" cache="Slicer_Department" caption="Department" style="SlicerStyleLight3" rowHeight="241300"/>
  <slicer name="Contract Type" xr10:uid="{6211196C-CCB2-4402-B0FC-EEFD3C4B54C3}" cache="Slicer_Contract_Type" caption="Contract Type" style="SlicerStyleLight3" rowHeight="241300"/>
  <slicer name="Hire Source" xr10:uid="{CEB3A65F-9C15-4358-8BFD-6E99ECB9384A}" cache="Slicer_Hire_Source" caption="Hire Source" columnCount="3" style="SlicerStyleLight3" rowHeight="241300"/>
  <slicer name="Role" xr10:uid="{3E344553-3A0A-4CB4-B752-13CAC9FE5574}" cache="Slicer_Role" caption="Role" startItem="9"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1EFA72-9865-46FD-8190-D4F1187FD48F}" name="emp_db" displayName="emp_db" ref="B3:V1004" totalsRowShown="0" headerRowDxfId="24" dataDxfId="22" headerRowBorderDxfId="23" tableBorderDxfId="21">
  <autoFilter ref="B3:V1004" xr:uid="{2891B031-55E8-4006-A019-B032C37C3FCC}"/>
  <tableColumns count="21">
    <tableColumn id="1" xr3:uid="{7B841E7D-7A31-4706-A70A-2A5D8A38FBE0}" name="ID" dataDxfId="20"/>
    <tableColumn id="2" xr3:uid="{52102127-B941-4B0B-9C98-961E7109BF7E}" name="Full Name" dataDxfId="19"/>
    <tableColumn id="3" xr3:uid="{D5A39111-0B5E-4F9A-9061-ABD3AE9FA534}" name="Email" dataDxfId="18"/>
    <tableColumn id="4" xr3:uid="{F8330CCC-E7BE-4FE3-A634-D725E3707921}" name="Phone" dataDxfId="17"/>
    <tableColumn id="5" xr3:uid="{B8C991B6-6B32-4556-8F91-2A90CEFDE34E}" name="Date of Birth" dataDxfId="16"/>
    <tableColumn id="6" xr3:uid="{11AE6609-6387-42D9-A45E-E3FD5109C01B}" name="Gender" dataDxfId="15"/>
    <tableColumn id="7" xr3:uid="{70E01BF9-0F8F-4737-A4E8-D15828387BCE}" name="Column1" dataDxfId="14"/>
    <tableColumn id="21" xr3:uid="{874151CB-F8A4-4502-B22B-75BAB9708499}" name="Hire Source" dataDxfId="13"/>
    <tableColumn id="8" xr3:uid="{A88CE9A5-60AD-40DB-B6A8-E2D06D3127A0}" name="Location" dataDxfId="12"/>
    <tableColumn id="9" xr3:uid="{9CA19B2A-4279-48C2-8682-CDC119DA9DCE}" name="Department" dataDxfId="11"/>
    <tableColumn id="10" xr3:uid="{B331A83A-F469-4F98-9294-870644E451B0}" name="Contract Type" dataDxfId="10"/>
    <tableColumn id="11" xr3:uid="{7A900264-8CA4-4640-9EEC-7495B5E691F6}" name="Role" dataDxfId="9"/>
    <tableColumn id="12" xr3:uid="{DC32A909-1CC6-419F-849D-5BD63FB99E2B}" name="Exit Date" dataDxfId="8"/>
    <tableColumn id="13" xr3:uid="{A10E10E1-CCCF-4061-AD54-4DDAF0BA3944}" name="Exit Reason" dataDxfId="7"/>
    <tableColumn id="14" xr3:uid="{7C917BC1-6C49-4821-9D0D-CC903213F9FB}" name="Exit Type" dataDxfId="6"/>
    <tableColumn id="15" xr3:uid="{709499BD-258A-4CBB-AC10-A59888E3EFF6}" name="Tenure" dataDxfId="5">
      <calculatedColumnFormula>IF(emp_db[[#This Row],[Exit Date]]&lt;&gt;"",(emp_db[[#This Row],[Exit Date]]-emp_db[[#This Row],[Column1]])/365,IF(emp_db[[#This Row],[ID]]&lt;&gt;"",(TODAY()-emp_db[[#This Row],[Column1]])/365,""))</calculatedColumnFormula>
    </tableColumn>
    <tableColumn id="16" xr3:uid="{410D172C-0A41-4DB4-9A31-4F54BF7DEAA0}" name="Age" dataDxfId="4">
      <calculatedColumnFormula>IF(emp_db[[#This Row],[Date of Birth]]&lt;&gt;"",(TODAY()-emp_db[[#This Row],[Date of Birth]])/365,"")</calculatedColumnFormula>
    </tableColumn>
    <tableColumn id="17" xr3:uid="{CC66B45B-E899-4FA5-88D4-76D023BCCC05}" name="Year Entry" dataDxfId="3">
      <calculatedColumnFormula>YEAR(emp_db[[#This Row],[Column1]])</calculatedColumnFormula>
    </tableColumn>
    <tableColumn id="18" xr3:uid="{D9E6DF45-53AA-4BF3-AA62-7FD9D6AD3EE1}" name="Month Entry" dataDxfId="2">
      <calculatedColumnFormula>MONTH(emp_db[[#This Row],[Column1]])</calculatedColumnFormula>
    </tableColumn>
    <tableColumn id="19" xr3:uid="{7A3D60A1-07F1-42AF-9C10-5B12D20D6B7D}" name="Year Exit" dataDxfId="1">
      <calculatedColumnFormula>IFERROR(YEAR(emp_db[[#This Row],[Exit Date]]),"")</calculatedColumnFormula>
    </tableColumn>
    <tableColumn id="20" xr3:uid="{14E98568-E6BD-4519-A552-D736349A6895}" name="Month Exit" dataDxfId="0">
      <calculatedColumnFormula>IFERROR(MONTH(emp_db[[#This Row],[Exit Date]]),"")</calculatedColumnFormula>
    </tableColumn>
  </tableColumns>
  <tableStyleInfo name="TableStyleMedium13 2"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009688"/>
      </a:accent1>
      <a:accent2>
        <a:srgbClr val="ED7D31"/>
      </a:accent2>
      <a:accent3>
        <a:srgbClr val="A5A5A5"/>
      </a:accent3>
      <a:accent4>
        <a:srgbClr val="FFC000"/>
      </a:accent4>
      <a:accent5>
        <a:srgbClr val="5B9BD5"/>
      </a:accent5>
      <a:accent6>
        <a:srgbClr val="009688"/>
      </a:accent6>
      <a:hlink>
        <a:srgbClr val="0563C1"/>
      </a:hlink>
      <a:folHlink>
        <a:srgbClr val="0563C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bream.in/"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https://www.bream.in/" TargetMode="Externa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hyperlink" Target="https://www.bream.in/" TargetMode="Externa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hyperlink" Target="https://www.orgos.io/" TargetMode="Externa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bream.in/"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bream.i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A7631-6B1A-4598-A29D-13CAC481AB72}">
  <sheetPr codeName="Sheet8">
    <tabColor rgb="FF2C2F35"/>
  </sheetPr>
  <dimension ref="A1:V34"/>
  <sheetViews>
    <sheetView showGridLines="0" workbookViewId="0">
      <selection activeCell="L2" sqref="L2:U3"/>
    </sheetView>
  </sheetViews>
  <sheetFormatPr baseColWidth="10" defaultColWidth="0" defaultRowHeight="18" customHeight="1" zeroHeight="1"/>
  <cols>
    <col min="1" max="22" width="9.1640625" style="5" customWidth="1"/>
    <col min="23" max="16384" width="9.1640625" style="5" hidden="1"/>
  </cols>
  <sheetData>
    <row r="1" spans="1:22" ht="18" customHeight="1" thickBot="1">
      <c r="A1" s="101"/>
      <c r="B1" s="101"/>
      <c r="C1" s="101"/>
      <c r="D1" s="101"/>
      <c r="E1" s="101"/>
      <c r="F1" s="101"/>
      <c r="G1" s="101"/>
      <c r="H1" s="101"/>
      <c r="I1" s="101"/>
      <c r="J1" s="101"/>
      <c r="K1" s="101"/>
      <c r="L1" s="101"/>
      <c r="M1" s="101"/>
      <c r="N1" s="101"/>
      <c r="O1" s="101"/>
      <c r="P1" s="101"/>
      <c r="Q1" s="101"/>
      <c r="R1" s="101"/>
      <c r="S1" s="101"/>
      <c r="T1" s="101"/>
      <c r="U1" s="101"/>
      <c r="V1" s="101"/>
    </row>
    <row r="2" spans="1:22" ht="35" customHeight="1">
      <c r="A2" s="107" t="s">
        <v>273</v>
      </c>
      <c r="B2" s="102"/>
      <c r="C2" s="102"/>
      <c r="D2" s="102"/>
      <c r="E2" s="102"/>
      <c r="F2" s="102"/>
      <c r="G2" s="102"/>
      <c r="H2" s="102"/>
      <c r="I2" s="102"/>
      <c r="J2" s="102"/>
      <c r="K2" s="102"/>
      <c r="L2" s="92" t="s">
        <v>277</v>
      </c>
      <c r="M2" s="93"/>
      <c r="N2" s="93"/>
      <c r="O2" s="93"/>
      <c r="P2" s="93"/>
      <c r="Q2" s="93"/>
      <c r="R2" s="93"/>
      <c r="S2" s="93"/>
      <c r="T2" s="93"/>
      <c r="U2" s="94"/>
      <c r="V2" s="6"/>
    </row>
    <row r="3" spans="1:22" ht="35" customHeight="1" thickBot="1">
      <c r="A3" s="102"/>
      <c r="B3" s="102"/>
      <c r="C3" s="102"/>
      <c r="D3" s="102"/>
      <c r="E3" s="102"/>
      <c r="F3" s="102"/>
      <c r="G3" s="102"/>
      <c r="H3" s="102"/>
      <c r="I3" s="102"/>
      <c r="J3" s="102"/>
      <c r="K3" s="102"/>
      <c r="L3" s="95"/>
      <c r="M3" s="96"/>
      <c r="N3" s="96"/>
      <c r="O3" s="96"/>
      <c r="P3" s="96"/>
      <c r="Q3" s="96"/>
      <c r="R3" s="96"/>
      <c r="S3" s="96"/>
      <c r="T3" s="96"/>
      <c r="U3" s="97"/>
      <c r="V3" s="6"/>
    </row>
    <row r="4" spans="1:22" ht="25" customHeight="1" thickBot="1">
      <c r="A4" s="102"/>
      <c r="B4" s="102"/>
      <c r="C4" s="102"/>
      <c r="D4" s="102"/>
      <c r="E4" s="102"/>
      <c r="F4" s="102"/>
      <c r="G4" s="102"/>
      <c r="H4" s="102"/>
      <c r="I4" s="102"/>
      <c r="J4" s="102"/>
      <c r="K4" s="102"/>
      <c r="L4" s="6"/>
      <c r="M4" s="6"/>
      <c r="N4" s="104" t="s">
        <v>272</v>
      </c>
      <c r="O4" s="105"/>
      <c r="P4" s="105"/>
      <c r="Q4" s="105"/>
      <c r="R4" s="105"/>
      <c r="S4" s="106"/>
      <c r="T4" s="6"/>
      <c r="U4" s="6"/>
      <c r="V4" s="6"/>
    </row>
    <row r="5" spans="1:22" ht="25" customHeight="1">
      <c r="A5" s="102"/>
      <c r="B5" s="102"/>
      <c r="C5" s="102"/>
      <c r="D5" s="102"/>
      <c r="E5" s="102"/>
      <c r="F5" s="102"/>
      <c r="G5" s="102"/>
      <c r="H5" s="102"/>
      <c r="I5" s="102"/>
      <c r="J5" s="102"/>
      <c r="K5" s="102"/>
      <c r="L5" s="6"/>
      <c r="M5" s="6"/>
      <c r="N5" s="98"/>
      <c r="O5" s="99"/>
      <c r="P5" s="99"/>
      <c r="Q5" s="100"/>
      <c r="R5" s="100"/>
      <c r="S5" s="100"/>
      <c r="T5" s="6"/>
      <c r="U5" s="6"/>
      <c r="V5" s="6"/>
    </row>
    <row r="6" spans="1:22" ht="25" customHeight="1">
      <c r="A6" s="102"/>
      <c r="B6" s="102"/>
      <c r="C6" s="102"/>
      <c r="D6" s="102"/>
      <c r="E6" s="102"/>
      <c r="F6" s="102"/>
      <c r="G6" s="102"/>
      <c r="H6" s="102"/>
      <c r="I6" s="102"/>
      <c r="J6" s="102"/>
      <c r="K6" s="102"/>
      <c r="L6" s="6"/>
      <c r="M6" s="6"/>
      <c r="N6" s="98"/>
      <c r="O6" s="99"/>
      <c r="P6" s="99"/>
      <c r="Q6" s="100"/>
      <c r="R6" s="100"/>
      <c r="S6" s="100"/>
      <c r="T6" s="6"/>
      <c r="U6" s="6"/>
      <c r="V6" s="6"/>
    </row>
    <row r="7" spans="1:22" ht="15">
      <c r="A7" s="6"/>
      <c r="B7" s="6"/>
      <c r="C7" s="6"/>
      <c r="D7" s="6"/>
      <c r="E7" s="6"/>
      <c r="F7" s="6"/>
      <c r="G7" s="6"/>
      <c r="H7" s="6"/>
      <c r="I7" s="6"/>
      <c r="J7" s="6"/>
      <c r="K7" s="6"/>
      <c r="L7" s="6"/>
      <c r="M7" s="6"/>
      <c r="N7" s="6"/>
      <c r="O7" s="6"/>
      <c r="P7" s="6"/>
      <c r="Q7" s="6"/>
      <c r="R7" s="6"/>
      <c r="S7" s="6"/>
      <c r="T7" s="6"/>
      <c r="U7" s="6"/>
      <c r="V7" s="6"/>
    </row>
    <row r="8" spans="1:22" ht="21">
      <c r="A8" s="86"/>
      <c r="B8" s="87"/>
      <c r="C8" s="87"/>
      <c r="D8" s="87"/>
      <c r="E8" s="87"/>
      <c r="F8" s="6"/>
      <c r="G8" s="6"/>
      <c r="H8" s="6"/>
      <c r="I8" s="6"/>
      <c r="J8" s="6"/>
      <c r="K8" s="6"/>
      <c r="L8" s="6"/>
      <c r="M8" s="6"/>
      <c r="N8" s="6"/>
      <c r="O8" s="6"/>
      <c r="P8" s="6"/>
      <c r="Q8" s="6"/>
      <c r="R8" s="6"/>
      <c r="S8" s="6"/>
      <c r="T8" s="6"/>
      <c r="U8" s="6"/>
      <c r="V8" s="6"/>
    </row>
    <row r="9" spans="1:22" ht="15">
      <c r="A9" s="79"/>
      <c r="B9" s="79"/>
      <c r="C9" s="79"/>
      <c r="D9" s="79"/>
      <c r="E9" s="79"/>
      <c r="F9" s="80"/>
      <c r="G9" s="80"/>
      <c r="H9" s="80"/>
      <c r="I9" s="80"/>
      <c r="J9" s="80"/>
      <c r="K9" s="80"/>
      <c r="L9" s="80"/>
      <c r="M9" s="80"/>
      <c r="N9" s="80"/>
      <c r="O9" s="80"/>
      <c r="P9" s="80"/>
      <c r="Q9" s="80"/>
      <c r="R9" s="80"/>
      <c r="S9" s="80"/>
      <c r="T9" s="80"/>
      <c r="U9" s="80"/>
      <c r="V9" s="80"/>
    </row>
    <row r="10" spans="1:22" ht="15">
      <c r="A10" s="79"/>
      <c r="B10" s="79"/>
      <c r="C10" s="79"/>
      <c r="D10" s="79"/>
      <c r="E10" s="79"/>
      <c r="F10" s="80"/>
      <c r="G10" s="80"/>
      <c r="H10" s="80"/>
      <c r="I10" s="80"/>
      <c r="J10" s="80"/>
      <c r="K10" s="80"/>
      <c r="L10" s="80"/>
      <c r="M10" s="80"/>
      <c r="N10" s="80"/>
      <c r="O10" s="80"/>
      <c r="P10" s="80"/>
      <c r="Q10" s="80"/>
      <c r="R10" s="80"/>
      <c r="S10" s="80"/>
      <c r="T10" s="80"/>
      <c r="U10" s="80"/>
      <c r="V10" s="80"/>
    </row>
    <row r="11" spans="1:22" ht="16">
      <c r="A11" s="81" t="s">
        <v>264</v>
      </c>
      <c r="B11" s="82"/>
      <c r="C11" s="82"/>
      <c r="D11" s="82"/>
      <c r="E11" s="82"/>
      <c r="F11" s="82"/>
      <c r="G11" s="82"/>
      <c r="H11" s="82"/>
      <c r="I11" s="82"/>
      <c r="J11" s="82"/>
      <c r="K11" s="82"/>
      <c r="L11" s="82"/>
      <c r="M11" s="82"/>
      <c r="N11" s="80"/>
      <c r="O11" s="80"/>
      <c r="P11" s="80"/>
      <c r="Q11" s="80"/>
      <c r="R11" s="80"/>
      <c r="S11" s="80"/>
      <c r="T11" s="80"/>
      <c r="U11" s="80"/>
      <c r="V11" s="80"/>
    </row>
    <row r="12" spans="1:22" ht="16">
      <c r="A12" s="81" t="s">
        <v>266</v>
      </c>
      <c r="B12" s="81"/>
      <c r="C12" s="81"/>
      <c r="D12" s="81"/>
      <c r="E12" s="81"/>
      <c r="F12" s="82"/>
      <c r="G12" s="82"/>
      <c r="H12" s="82"/>
      <c r="I12" s="82"/>
      <c r="J12" s="82"/>
      <c r="K12" s="82"/>
      <c r="L12" s="82"/>
      <c r="M12" s="82"/>
      <c r="N12" s="80"/>
      <c r="O12" s="80"/>
      <c r="P12" s="80"/>
      <c r="Q12" s="80"/>
      <c r="R12" s="80"/>
      <c r="S12" s="80"/>
      <c r="T12" s="80"/>
      <c r="U12" s="80"/>
      <c r="V12" s="80"/>
    </row>
    <row r="13" spans="1:22" ht="16">
      <c r="A13" s="81" t="s">
        <v>267</v>
      </c>
      <c r="B13" s="81"/>
      <c r="C13" s="81"/>
      <c r="D13" s="81"/>
      <c r="E13" s="81"/>
      <c r="F13" s="82"/>
      <c r="G13" s="82"/>
      <c r="H13" s="82"/>
      <c r="I13" s="82"/>
      <c r="J13" s="82"/>
      <c r="K13" s="82"/>
      <c r="L13" s="82"/>
      <c r="M13" s="82"/>
      <c r="N13" s="80"/>
      <c r="O13" s="80"/>
      <c r="P13" s="80"/>
      <c r="Q13" s="80"/>
      <c r="R13" s="80"/>
      <c r="S13" s="80"/>
      <c r="T13" s="80"/>
      <c r="U13" s="80"/>
      <c r="V13" s="80"/>
    </row>
    <row r="14" spans="1:22" ht="16">
      <c r="A14" s="81"/>
      <c r="B14" s="81" t="s">
        <v>268</v>
      </c>
      <c r="C14" s="81"/>
      <c r="D14" s="81"/>
      <c r="E14" s="81"/>
      <c r="F14" s="82"/>
      <c r="G14" s="82"/>
      <c r="H14" s="82"/>
      <c r="I14" s="82"/>
      <c r="J14" s="82"/>
      <c r="K14" s="82"/>
      <c r="L14" s="82"/>
      <c r="M14" s="82"/>
      <c r="N14" s="80"/>
      <c r="O14" s="80"/>
      <c r="P14" s="80"/>
      <c r="Q14" s="80"/>
      <c r="R14" s="80"/>
      <c r="S14" s="80"/>
      <c r="T14" s="80"/>
      <c r="U14" s="80"/>
      <c r="V14" s="80"/>
    </row>
    <row r="15" spans="1:22" ht="54.75" customHeight="1">
      <c r="A15" s="88" t="s">
        <v>269</v>
      </c>
      <c r="B15" s="88"/>
      <c r="C15" s="88"/>
      <c r="D15" s="88"/>
      <c r="E15" s="88"/>
      <c r="F15" s="88"/>
      <c r="G15" s="88"/>
      <c r="H15" s="88"/>
      <c r="I15" s="88"/>
      <c r="J15" s="88"/>
      <c r="K15" s="88"/>
      <c r="L15" s="88"/>
      <c r="M15" s="88"/>
      <c r="N15" s="80"/>
      <c r="O15" s="80"/>
      <c r="P15" s="80"/>
      <c r="Q15" s="80"/>
      <c r="R15" s="80"/>
      <c r="S15" s="80"/>
      <c r="T15" s="80"/>
      <c r="U15" s="80"/>
      <c r="V15" s="80"/>
    </row>
    <row r="16" spans="1:22" ht="39.75" customHeight="1">
      <c r="A16" s="85" t="s">
        <v>270</v>
      </c>
      <c r="B16" s="85"/>
      <c r="C16" s="85"/>
      <c r="D16" s="85"/>
      <c r="E16" s="85"/>
      <c r="F16" s="85"/>
      <c r="G16" s="85"/>
      <c r="H16" s="85"/>
      <c r="I16" s="85"/>
      <c r="J16" s="85"/>
      <c r="K16" s="85"/>
      <c r="L16" s="85"/>
      <c r="M16" s="85"/>
      <c r="N16" s="80"/>
      <c r="O16" s="80"/>
      <c r="P16" s="80"/>
      <c r="Q16" s="80"/>
      <c r="R16" s="80"/>
      <c r="S16" s="80"/>
      <c r="T16" s="80"/>
      <c r="U16" s="80"/>
      <c r="V16" s="80"/>
    </row>
    <row r="17" spans="1:22" ht="36.75" customHeight="1">
      <c r="A17" s="85" t="s">
        <v>271</v>
      </c>
      <c r="B17" s="85"/>
      <c r="C17" s="85"/>
      <c r="D17" s="85"/>
      <c r="E17" s="85"/>
      <c r="F17" s="85"/>
      <c r="G17" s="85"/>
      <c r="H17" s="85"/>
      <c r="I17" s="85"/>
      <c r="J17" s="85"/>
      <c r="K17" s="85"/>
      <c r="L17" s="85"/>
      <c r="M17" s="85"/>
      <c r="N17" s="80"/>
      <c r="O17" s="80"/>
      <c r="P17" s="80"/>
      <c r="Q17" s="80"/>
      <c r="R17" s="80"/>
      <c r="S17" s="80"/>
      <c r="T17" s="80"/>
      <c r="U17" s="80"/>
      <c r="V17" s="80"/>
    </row>
    <row r="18" spans="1:22" ht="15">
      <c r="A18" s="82"/>
      <c r="B18" s="82"/>
      <c r="C18" s="82"/>
      <c r="D18" s="82"/>
      <c r="E18" s="82"/>
      <c r="F18" s="82"/>
      <c r="G18" s="82"/>
      <c r="H18" s="82"/>
      <c r="I18" s="82"/>
      <c r="J18" s="82"/>
      <c r="K18" s="82"/>
      <c r="L18" s="82"/>
      <c r="M18" s="82"/>
      <c r="N18" s="80"/>
      <c r="O18" s="80"/>
      <c r="P18" s="80"/>
      <c r="Q18" s="80"/>
      <c r="R18" s="80"/>
      <c r="S18" s="80"/>
      <c r="T18" s="80"/>
      <c r="U18" s="80"/>
      <c r="V18" s="80"/>
    </row>
    <row r="19" spans="1:22" ht="15">
      <c r="A19" s="83" t="s">
        <v>265</v>
      </c>
      <c r="B19" s="82"/>
      <c r="C19" s="82"/>
      <c r="D19" s="82"/>
      <c r="E19" s="82"/>
      <c r="F19" s="82"/>
      <c r="G19" s="82"/>
      <c r="H19" s="82"/>
      <c r="I19" s="82"/>
      <c r="J19" s="82"/>
      <c r="K19" s="82"/>
      <c r="L19" s="82"/>
      <c r="M19" s="82"/>
      <c r="N19" s="80"/>
      <c r="O19" s="80"/>
      <c r="P19" s="80"/>
      <c r="Q19" s="80"/>
      <c r="R19" s="80"/>
      <c r="S19" s="80"/>
      <c r="T19" s="80"/>
      <c r="U19" s="80"/>
      <c r="V19" s="80"/>
    </row>
    <row r="20" spans="1:22" ht="15">
      <c r="A20" s="80"/>
      <c r="B20" s="80"/>
      <c r="C20" s="80"/>
      <c r="D20" s="80"/>
      <c r="E20" s="80"/>
      <c r="F20" s="80"/>
      <c r="G20" s="80"/>
      <c r="H20" s="80"/>
      <c r="I20" s="80"/>
      <c r="J20" s="80"/>
      <c r="K20" s="80"/>
      <c r="L20" s="80"/>
      <c r="M20" s="80"/>
      <c r="N20" s="80"/>
      <c r="O20" s="80"/>
      <c r="P20" s="80"/>
      <c r="Q20" s="80"/>
      <c r="R20" s="80"/>
      <c r="S20" s="80"/>
      <c r="T20" s="80"/>
      <c r="U20" s="80"/>
      <c r="V20" s="80"/>
    </row>
    <row r="21" spans="1:22" ht="15">
      <c r="A21" s="80"/>
      <c r="B21" s="80"/>
      <c r="C21" s="80"/>
      <c r="D21" s="80"/>
      <c r="E21" s="80"/>
      <c r="F21" s="80"/>
      <c r="G21" s="80"/>
      <c r="H21" s="80"/>
      <c r="I21" s="80"/>
      <c r="J21" s="80"/>
      <c r="K21" s="80"/>
      <c r="L21" s="80"/>
      <c r="M21" s="80"/>
      <c r="N21" s="80"/>
      <c r="O21" s="80"/>
      <c r="P21" s="80"/>
      <c r="Q21" s="80"/>
      <c r="R21" s="80"/>
      <c r="S21" s="80"/>
      <c r="T21" s="80"/>
      <c r="U21" s="80"/>
      <c r="V21" s="80"/>
    </row>
    <row r="22" spans="1:22" ht="15" hidden="1"/>
    <row r="23" spans="1:22" ht="15" hidden="1"/>
    <row r="24" spans="1:22" ht="15" hidden="1"/>
    <row r="25" spans="1:22" ht="15" hidden="1"/>
    <row r="26" spans="1:22" ht="15" hidden="1"/>
    <row r="27" spans="1:22" ht="18" customHeight="1"/>
    <row r="28" spans="1:22" ht="18" customHeight="1"/>
    <row r="29" spans="1:22" ht="18" customHeight="1"/>
    <row r="30" spans="1:22" ht="18" customHeight="1"/>
    <row r="31" spans="1:22" ht="18" customHeight="1"/>
    <row r="32" spans="1:22" ht="18" customHeight="1"/>
    <row r="33" ht="18" customHeight="1"/>
    <row r="34" ht="18" customHeight="1"/>
  </sheetData>
  <sheetProtection selectLockedCells="1" selectUnlockedCells="1"/>
  <mergeCells count="7">
    <mergeCell ref="A17:M17"/>
    <mergeCell ref="A8:E8"/>
    <mergeCell ref="A15:M15"/>
    <mergeCell ref="A16:M16"/>
    <mergeCell ref="N4:S4"/>
    <mergeCell ref="A2:K6"/>
    <mergeCell ref="L2:U3"/>
  </mergeCells>
  <hyperlinks>
    <hyperlink ref="N4" r:id="rId1" xr:uid="{B5FB23FF-1960-2C4A-9D73-AEA5C561A152}"/>
  </hyperlinks>
  <pageMargins left="0.7" right="0.7" top="0.75" bottom="0.75" header="0.3" footer="0.3"/>
  <pageSetup orientation="portrait" horizontalDpi="0"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3301E-D6D0-4B29-937D-6AC594AA7ABD}">
  <sheetPr codeName="Sheet1">
    <tabColor rgb="FF009688"/>
  </sheetPr>
  <dimension ref="A1:Z1004"/>
  <sheetViews>
    <sheetView showGridLines="0" showRowColHeaders="0" tabSelected="1" zoomScaleNormal="100" workbookViewId="0">
      <selection activeCell="L6" sqref="L6"/>
    </sheetView>
  </sheetViews>
  <sheetFormatPr baseColWidth="10" defaultColWidth="0" defaultRowHeight="12"/>
  <cols>
    <col min="1" max="1" width="3" style="32" customWidth="1"/>
    <col min="2" max="2" width="13.1640625" style="32" customWidth="1"/>
    <col min="3" max="3" width="23.5" style="32" customWidth="1"/>
    <col min="4" max="4" width="27.1640625" style="32" customWidth="1"/>
    <col min="5" max="5" width="15.6640625" style="32" customWidth="1"/>
    <col min="6" max="6" width="19.5" style="32" customWidth="1"/>
    <col min="7" max="7" width="15.6640625" style="32" customWidth="1"/>
    <col min="8" max="8" width="18.83203125" style="32" customWidth="1"/>
    <col min="9" max="9" width="19.83203125" style="32" customWidth="1"/>
    <col min="10" max="10" width="15.6640625" style="32" customWidth="1"/>
    <col min="11" max="11" width="19.6640625" style="17" customWidth="1"/>
    <col min="12" max="12" width="20.83203125" style="32" customWidth="1"/>
    <col min="13" max="13" width="41.6640625" style="32" customWidth="1"/>
    <col min="14" max="14" width="21.5" style="32" customWidth="1"/>
    <col min="15" max="15" width="20.1640625" style="32" customWidth="1"/>
    <col min="16" max="16" width="17" style="32" customWidth="1"/>
    <col min="17" max="17" width="17.83203125" style="32" customWidth="1"/>
    <col min="18" max="18" width="14.33203125" style="32" customWidth="1"/>
    <col min="19" max="22" width="0" style="32" hidden="1" customWidth="1"/>
    <col min="23" max="24" width="9.1640625" style="32" customWidth="1"/>
    <col min="25" max="25" width="46.1640625" style="32" customWidth="1"/>
    <col min="26" max="26" width="9.1640625" style="32" customWidth="1"/>
    <col min="27" max="16384" width="9.1640625" style="32" hidden="1"/>
  </cols>
  <sheetData>
    <row r="1" spans="1:26" ht="45" customHeight="1">
      <c r="A1" s="57" t="s">
        <v>166</v>
      </c>
      <c r="B1" s="58"/>
      <c r="C1" s="58"/>
      <c r="D1" s="58"/>
      <c r="E1" s="58"/>
      <c r="F1" s="58"/>
      <c r="G1" s="58"/>
      <c r="H1" s="58"/>
      <c r="I1" s="58"/>
      <c r="J1" s="58"/>
      <c r="K1" s="59"/>
      <c r="L1" s="58"/>
      <c r="M1" s="58"/>
      <c r="N1" s="58"/>
      <c r="O1" s="58"/>
      <c r="P1" s="58"/>
      <c r="Q1" s="58"/>
      <c r="R1" s="62"/>
      <c r="S1" s="56"/>
      <c r="T1" s="56"/>
      <c r="U1" s="56"/>
      <c r="V1" s="56"/>
      <c r="W1" s="62"/>
      <c r="X1" s="62"/>
      <c r="Y1" s="62"/>
      <c r="Z1" s="84" t="s">
        <v>275</v>
      </c>
    </row>
    <row r="2" spans="1:26" ht="25.5" customHeight="1">
      <c r="B2" s="89" t="s">
        <v>210</v>
      </c>
      <c r="C2" s="89"/>
      <c r="D2" s="89"/>
      <c r="E2" s="89"/>
      <c r="F2" s="89"/>
      <c r="G2" s="89"/>
      <c r="H2" s="33"/>
    </row>
    <row r="3" spans="1:26" s="34" customFormat="1" ht="30" customHeight="1">
      <c r="B3" s="35" t="s">
        <v>23</v>
      </c>
      <c r="C3" s="54" t="s">
        <v>0</v>
      </c>
      <c r="D3" s="54" t="s">
        <v>1</v>
      </c>
      <c r="E3" s="54" t="s">
        <v>2</v>
      </c>
      <c r="F3" s="54" t="s">
        <v>7</v>
      </c>
      <c r="G3" s="54" t="s">
        <v>3</v>
      </c>
      <c r="H3" s="36" t="s">
        <v>276</v>
      </c>
      <c r="I3" s="36" t="s">
        <v>211</v>
      </c>
      <c r="J3" s="36" t="s">
        <v>4</v>
      </c>
      <c r="K3" s="36" t="s">
        <v>5</v>
      </c>
      <c r="L3" s="36" t="s">
        <v>6</v>
      </c>
      <c r="M3" s="36" t="s">
        <v>263</v>
      </c>
      <c r="N3" s="37" t="s">
        <v>8</v>
      </c>
      <c r="O3" s="37" t="s">
        <v>9</v>
      </c>
      <c r="P3" s="37" t="s">
        <v>10</v>
      </c>
      <c r="Q3" s="47" t="s">
        <v>11</v>
      </c>
      <c r="R3" s="47" t="s">
        <v>149</v>
      </c>
      <c r="S3" s="37" t="s">
        <v>183</v>
      </c>
      <c r="T3" s="37" t="s">
        <v>184</v>
      </c>
      <c r="U3" s="37" t="s">
        <v>185</v>
      </c>
      <c r="V3" s="37" t="s">
        <v>186</v>
      </c>
    </row>
    <row r="4" spans="1:26">
      <c r="B4" s="38">
        <v>1</v>
      </c>
      <c r="C4" s="39" t="s">
        <v>24</v>
      </c>
      <c r="D4" s="38" t="s">
        <v>86</v>
      </c>
      <c r="E4" s="38" t="s">
        <v>148</v>
      </c>
      <c r="F4" s="40">
        <v>29624</v>
      </c>
      <c r="G4" s="38" t="s">
        <v>151</v>
      </c>
      <c r="H4" s="40">
        <v>42602</v>
      </c>
      <c r="I4" s="40" t="s">
        <v>212</v>
      </c>
      <c r="J4" s="38" t="s">
        <v>159</v>
      </c>
      <c r="K4" s="38" t="s">
        <v>165</v>
      </c>
      <c r="L4" s="38" t="s">
        <v>153</v>
      </c>
      <c r="M4" s="38" t="s">
        <v>165</v>
      </c>
      <c r="N4" s="40">
        <v>43310</v>
      </c>
      <c r="O4" s="38"/>
      <c r="P4" s="38" t="s">
        <v>162</v>
      </c>
      <c r="Q4" s="41">
        <f ca="1">IF(emp_db[[#This Row],[Exit Date]]&lt;&gt;"",(emp_db[[#This Row],[Exit Date]]-emp_db[[#This Row],[Column1]])/365,IF(emp_db[[#This Row],[ID]]&lt;&gt;"",(TODAY()-emp_db[[#This Row],[Column1]])/365,""))</f>
        <v>1.9397260273972603</v>
      </c>
      <c r="R4" s="42">
        <f ca="1">IF(emp_db[[#This Row],[Date of Birth]]&lt;&gt;"",(TODAY()-emp_db[[#This Row],[Date of Birth]])/365,"")</f>
        <v>39.786301369863011</v>
      </c>
      <c r="S4" s="42">
        <f>YEAR(emp_db[[#This Row],[Column1]])</f>
        <v>2016</v>
      </c>
      <c r="T4" s="42">
        <f>MONTH(emp_db[[#This Row],[Column1]])</f>
        <v>8</v>
      </c>
      <c r="U4" s="42">
        <f>IFERROR(YEAR(emp_db[[#This Row],[Exit Date]]),"")</f>
        <v>2018</v>
      </c>
      <c r="V4" s="42">
        <f>IFERROR(MONTH(emp_db[[#This Row],[Exit Date]]),"")</f>
        <v>7</v>
      </c>
    </row>
    <row r="5" spans="1:26">
      <c r="B5" s="38">
        <v>2</v>
      </c>
      <c r="C5" s="39" t="s">
        <v>25</v>
      </c>
      <c r="D5" s="38" t="s">
        <v>87</v>
      </c>
      <c r="E5" s="38" t="s">
        <v>148</v>
      </c>
      <c r="F5" s="40">
        <v>35470</v>
      </c>
      <c r="G5" s="38" t="s">
        <v>150</v>
      </c>
      <c r="H5" s="40">
        <v>43281</v>
      </c>
      <c r="I5" s="40" t="s">
        <v>215</v>
      </c>
      <c r="J5" s="38" t="s">
        <v>158</v>
      </c>
      <c r="K5" s="38" t="s">
        <v>227</v>
      </c>
      <c r="L5" s="38" t="s">
        <v>153</v>
      </c>
      <c r="M5" s="38" t="s">
        <v>251</v>
      </c>
      <c r="N5" s="40">
        <v>43376</v>
      </c>
      <c r="O5" s="38"/>
      <c r="P5" s="38" t="s">
        <v>162</v>
      </c>
      <c r="Q5" s="41">
        <f ca="1">IF(emp_db[[#This Row],[Exit Date]]&lt;&gt;"",(emp_db[[#This Row],[Exit Date]]-emp_db[[#This Row],[Column1]])/365,IF(emp_db[[#This Row],[ID]]&lt;&gt;"",(TODAY()-emp_db[[#This Row],[Column1]])/365,""))</f>
        <v>0.26027397260273971</v>
      </c>
      <c r="R5" s="42">
        <f ca="1">IF(emp_db[[#This Row],[Date of Birth]]&lt;&gt;"",(TODAY()-emp_db[[#This Row],[Date of Birth]])/365,"")</f>
        <v>23.769863013698629</v>
      </c>
      <c r="S5" s="42">
        <f>YEAR(emp_db[[#This Row],[Column1]])</f>
        <v>2018</v>
      </c>
      <c r="T5" s="42">
        <f>MONTH(emp_db[[#This Row],[Column1]])</f>
        <v>6</v>
      </c>
      <c r="U5" s="42">
        <f>IFERROR(YEAR(emp_db[[#This Row],[Exit Date]]),"")</f>
        <v>2018</v>
      </c>
      <c r="V5" s="42">
        <f>IFERROR(MONTH(emp_db[[#This Row],[Exit Date]]),"")</f>
        <v>10</v>
      </c>
    </row>
    <row r="6" spans="1:26">
      <c r="B6" s="38">
        <v>3</v>
      </c>
      <c r="C6" s="39" t="s">
        <v>26</v>
      </c>
      <c r="D6" s="38" t="s">
        <v>88</v>
      </c>
      <c r="E6" s="38" t="s">
        <v>148</v>
      </c>
      <c r="F6" s="40">
        <v>33994</v>
      </c>
      <c r="G6" s="38" t="s">
        <v>150</v>
      </c>
      <c r="H6" s="40">
        <v>43055</v>
      </c>
      <c r="I6" s="40" t="s">
        <v>212</v>
      </c>
      <c r="J6" s="38" t="s">
        <v>157</v>
      </c>
      <c r="K6" s="38" t="s">
        <v>230</v>
      </c>
      <c r="L6" s="38" t="s">
        <v>154</v>
      </c>
      <c r="M6" s="38" t="s">
        <v>169</v>
      </c>
      <c r="N6" s="40" t="s">
        <v>152</v>
      </c>
      <c r="O6" s="38"/>
      <c r="P6" s="38"/>
      <c r="Q6" s="41">
        <f ca="1">IF(emp_db[[#This Row],[Exit Date]]&lt;&gt;"",(emp_db[[#This Row],[Exit Date]]-emp_db[[#This Row],[Column1]])/365,IF(emp_db[[#This Row],[ID]]&lt;&gt;"",(TODAY()-emp_db[[#This Row],[Column1]])/365,""))</f>
        <v>2.989041095890411</v>
      </c>
      <c r="R6" s="42">
        <f ca="1">IF(emp_db[[#This Row],[Date of Birth]]&lt;&gt;"",(TODAY()-emp_db[[#This Row],[Date of Birth]])/365,"")</f>
        <v>27.813698630136987</v>
      </c>
      <c r="S6" s="42">
        <f>YEAR(emp_db[[#This Row],[Column1]])</f>
        <v>2017</v>
      </c>
      <c r="T6" s="42">
        <f>MONTH(emp_db[[#This Row],[Column1]])</f>
        <v>11</v>
      </c>
      <c r="U6" s="42" t="str">
        <f>IFERROR(YEAR(emp_db[[#This Row],[Exit Date]]),"")</f>
        <v/>
      </c>
      <c r="V6" s="42" t="str">
        <f>IFERROR(MONTH(emp_db[[#This Row],[Exit Date]]),"")</f>
        <v/>
      </c>
    </row>
    <row r="7" spans="1:26">
      <c r="B7" s="38">
        <v>4</v>
      </c>
      <c r="C7" s="39" t="s">
        <v>27</v>
      </c>
      <c r="D7" s="38" t="s">
        <v>89</v>
      </c>
      <c r="E7" s="38" t="s">
        <v>148</v>
      </c>
      <c r="F7" s="40">
        <v>35788</v>
      </c>
      <c r="G7" s="38" t="s">
        <v>150</v>
      </c>
      <c r="H7" s="40">
        <v>40687</v>
      </c>
      <c r="I7" s="40" t="s">
        <v>218</v>
      </c>
      <c r="J7" s="38" t="s">
        <v>159</v>
      </c>
      <c r="K7" s="38" t="s">
        <v>164</v>
      </c>
      <c r="L7" s="38" t="s">
        <v>154</v>
      </c>
      <c r="M7" s="38" t="s">
        <v>171</v>
      </c>
      <c r="N7" s="40">
        <v>43216</v>
      </c>
      <c r="O7" s="38"/>
      <c r="P7" s="38" t="s">
        <v>162</v>
      </c>
      <c r="Q7" s="41">
        <f ca="1">IF(emp_db[[#This Row],[Exit Date]]&lt;&gt;"",(emp_db[[#This Row],[Exit Date]]-emp_db[[#This Row],[Column1]])/365,IF(emp_db[[#This Row],[ID]]&lt;&gt;"",(TODAY()-emp_db[[#This Row],[Column1]])/365,""))</f>
        <v>6.9287671232876713</v>
      </c>
      <c r="R7" s="42">
        <f ca="1">IF(emp_db[[#This Row],[Date of Birth]]&lt;&gt;"",(TODAY()-emp_db[[#This Row],[Date of Birth]])/365,"")</f>
        <v>22.898630136986302</v>
      </c>
      <c r="S7" s="42">
        <f>YEAR(emp_db[[#This Row],[Column1]])</f>
        <v>2011</v>
      </c>
      <c r="T7" s="42">
        <f>MONTH(emp_db[[#This Row],[Column1]])</f>
        <v>5</v>
      </c>
      <c r="U7" s="42">
        <f>IFERROR(YEAR(emp_db[[#This Row],[Exit Date]]),"")</f>
        <v>2018</v>
      </c>
      <c r="V7" s="42">
        <f>IFERROR(MONTH(emp_db[[#This Row],[Exit Date]]),"")</f>
        <v>4</v>
      </c>
    </row>
    <row r="8" spans="1:26">
      <c r="B8" s="38">
        <v>5</v>
      </c>
      <c r="C8" s="39" t="s">
        <v>28</v>
      </c>
      <c r="D8" s="38" t="s">
        <v>90</v>
      </c>
      <c r="E8" s="38" t="s">
        <v>148</v>
      </c>
      <c r="F8" s="40">
        <v>32378</v>
      </c>
      <c r="G8" s="38" t="s">
        <v>151</v>
      </c>
      <c r="H8" s="40">
        <v>40995</v>
      </c>
      <c r="I8" s="40" t="s">
        <v>215</v>
      </c>
      <c r="J8" s="38" t="s">
        <v>160</v>
      </c>
      <c r="K8" s="38" t="s">
        <v>226</v>
      </c>
      <c r="L8" s="38" t="s">
        <v>154</v>
      </c>
      <c r="M8" s="38" t="s">
        <v>254</v>
      </c>
      <c r="N8" s="40">
        <v>43163</v>
      </c>
      <c r="O8" s="38"/>
      <c r="P8" s="38" t="s">
        <v>162</v>
      </c>
      <c r="Q8" s="41">
        <f ca="1">IF(emp_db[[#This Row],[Exit Date]]&lt;&gt;"",(emp_db[[#This Row],[Exit Date]]-emp_db[[#This Row],[Column1]])/365,IF(emp_db[[#This Row],[ID]]&lt;&gt;"",(TODAY()-emp_db[[#This Row],[Column1]])/365,""))</f>
        <v>5.9397260273972599</v>
      </c>
      <c r="R8" s="42">
        <f ca="1">IF(emp_db[[#This Row],[Date of Birth]]&lt;&gt;"",(TODAY()-emp_db[[#This Row],[Date of Birth]])/365,"")</f>
        <v>32.241095890410961</v>
      </c>
      <c r="S8" s="42">
        <f>YEAR(emp_db[[#This Row],[Column1]])</f>
        <v>2012</v>
      </c>
      <c r="T8" s="42">
        <f>MONTH(emp_db[[#This Row],[Column1]])</f>
        <v>3</v>
      </c>
      <c r="U8" s="42">
        <f>IFERROR(YEAR(emp_db[[#This Row],[Exit Date]]),"")</f>
        <v>2018</v>
      </c>
      <c r="V8" s="42">
        <f>IFERROR(MONTH(emp_db[[#This Row],[Exit Date]]),"")</f>
        <v>3</v>
      </c>
    </row>
    <row r="9" spans="1:26">
      <c r="B9" s="38">
        <v>6</v>
      </c>
      <c r="C9" s="39" t="s">
        <v>29</v>
      </c>
      <c r="D9" s="38" t="s">
        <v>91</v>
      </c>
      <c r="E9" s="38" t="s">
        <v>148</v>
      </c>
      <c r="F9" s="40">
        <v>34686</v>
      </c>
      <c r="G9" s="38" t="s">
        <v>150</v>
      </c>
      <c r="H9" s="40">
        <v>41406</v>
      </c>
      <c r="I9" s="40" t="s">
        <v>218</v>
      </c>
      <c r="J9" s="38" t="s">
        <v>160</v>
      </c>
      <c r="K9" s="38" t="s">
        <v>227</v>
      </c>
      <c r="L9" s="38" t="s">
        <v>154</v>
      </c>
      <c r="M9" s="38" t="s">
        <v>245</v>
      </c>
      <c r="N9" s="40" t="s">
        <v>152</v>
      </c>
      <c r="O9" s="38"/>
      <c r="P9" s="38"/>
      <c r="Q9" s="41">
        <f ca="1">IF(emp_db[[#This Row],[Exit Date]]&lt;&gt;"",(emp_db[[#This Row],[Exit Date]]-emp_db[[#This Row],[Column1]])/365,IF(emp_db[[#This Row],[ID]]&lt;&gt;"",(TODAY()-emp_db[[#This Row],[Column1]])/365,""))</f>
        <v>7.506849315068493</v>
      </c>
      <c r="R9" s="42">
        <f ca="1">IF(emp_db[[#This Row],[Date of Birth]]&lt;&gt;"",(TODAY()-emp_db[[#This Row],[Date of Birth]])/365,"")</f>
        <v>25.917808219178081</v>
      </c>
      <c r="S9" s="42">
        <f>YEAR(emp_db[[#This Row],[Column1]])</f>
        <v>2013</v>
      </c>
      <c r="T9" s="42">
        <f>MONTH(emp_db[[#This Row],[Column1]])</f>
        <v>5</v>
      </c>
      <c r="U9" s="42" t="str">
        <f>IFERROR(YEAR(emp_db[[#This Row],[Exit Date]]),"")</f>
        <v/>
      </c>
      <c r="V9" s="42" t="str">
        <f>IFERROR(MONTH(emp_db[[#This Row],[Exit Date]]),"")</f>
        <v/>
      </c>
    </row>
    <row r="10" spans="1:26">
      <c r="B10" s="38">
        <v>7</v>
      </c>
      <c r="C10" s="39" t="s">
        <v>30</v>
      </c>
      <c r="D10" s="38" t="s">
        <v>92</v>
      </c>
      <c r="E10" s="38" t="s">
        <v>148</v>
      </c>
      <c r="F10" s="40">
        <v>33103</v>
      </c>
      <c r="G10" s="38" t="s">
        <v>151</v>
      </c>
      <c r="H10" s="40">
        <v>42606</v>
      </c>
      <c r="I10" s="40" t="s">
        <v>217</v>
      </c>
      <c r="J10" s="38" t="s">
        <v>158</v>
      </c>
      <c r="K10" s="38" t="s">
        <v>226</v>
      </c>
      <c r="L10" s="38" t="s">
        <v>154</v>
      </c>
      <c r="M10" s="38" t="s">
        <v>252</v>
      </c>
      <c r="N10" s="40" t="s">
        <v>152</v>
      </c>
      <c r="O10" s="38"/>
      <c r="P10" s="38"/>
      <c r="Q10" s="41">
        <f ca="1">IF(emp_db[[#This Row],[Exit Date]]&lt;&gt;"",(emp_db[[#This Row],[Exit Date]]-emp_db[[#This Row],[Column1]])/365,IF(emp_db[[#This Row],[ID]]&lt;&gt;"",(TODAY()-emp_db[[#This Row],[Column1]])/365,""))</f>
        <v>4.2191780821917808</v>
      </c>
      <c r="R10" s="42">
        <f ca="1">IF(emp_db[[#This Row],[Date of Birth]]&lt;&gt;"",(TODAY()-emp_db[[#This Row],[Date of Birth]])/365,"")</f>
        <v>30.254794520547946</v>
      </c>
      <c r="S10" s="42">
        <f>YEAR(emp_db[[#This Row],[Column1]])</f>
        <v>2016</v>
      </c>
      <c r="T10" s="42">
        <f>MONTH(emp_db[[#This Row],[Column1]])</f>
        <v>8</v>
      </c>
      <c r="U10" s="42" t="str">
        <f>IFERROR(YEAR(emp_db[[#This Row],[Exit Date]]),"")</f>
        <v/>
      </c>
      <c r="V10" s="42" t="str">
        <f>IFERROR(MONTH(emp_db[[#This Row],[Exit Date]]),"")</f>
        <v/>
      </c>
    </row>
    <row r="11" spans="1:26">
      <c r="B11" s="38">
        <v>8</v>
      </c>
      <c r="C11" s="39" t="s">
        <v>31</v>
      </c>
      <c r="D11" s="38" t="s">
        <v>93</v>
      </c>
      <c r="E11" s="38" t="s">
        <v>148</v>
      </c>
      <c r="F11" s="40">
        <v>33331</v>
      </c>
      <c r="G11" s="38" t="s">
        <v>151</v>
      </c>
      <c r="H11" s="40">
        <v>43066</v>
      </c>
      <c r="I11" s="40" t="s">
        <v>212</v>
      </c>
      <c r="J11" s="38" t="s">
        <v>158</v>
      </c>
      <c r="K11" s="38" t="s">
        <v>227</v>
      </c>
      <c r="L11" s="38" t="s">
        <v>154</v>
      </c>
      <c r="M11" s="38" t="s">
        <v>261</v>
      </c>
      <c r="N11" s="40" t="s">
        <v>152</v>
      </c>
      <c r="O11" s="38"/>
      <c r="P11" s="38"/>
      <c r="Q11" s="41">
        <f ca="1">IF(emp_db[[#This Row],[Exit Date]]&lt;&gt;"",(emp_db[[#This Row],[Exit Date]]-emp_db[[#This Row],[Column1]])/365,IF(emp_db[[#This Row],[ID]]&lt;&gt;"",(TODAY()-emp_db[[#This Row],[Column1]])/365,""))</f>
        <v>2.9589041095890409</v>
      </c>
      <c r="R11" s="42">
        <f ca="1">IF(emp_db[[#This Row],[Date of Birth]]&lt;&gt;"",(TODAY()-emp_db[[#This Row],[Date of Birth]])/365,"")</f>
        <v>29.63013698630137</v>
      </c>
      <c r="S11" s="42">
        <f>YEAR(emp_db[[#This Row],[Column1]])</f>
        <v>2017</v>
      </c>
      <c r="T11" s="42">
        <f>MONTH(emp_db[[#This Row],[Column1]])</f>
        <v>11</v>
      </c>
      <c r="U11" s="42" t="str">
        <f>IFERROR(YEAR(emp_db[[#This Row],[Exit Date]]),"")</f>
        <v/>
      </c>
      <c r="V11" s="42" t="str">
        <f>IFERROR(MONTH(emp_db[[#This Row],[Exit Date]]),"")</f>
        <v/>
      </c>
    </row>
    <row r="12" spans="1:26">
      <c r="B12" s="38">
        <v>9</v>
      </c>
      <c r="C12" s="39" t="s">
        <v>32</v>
      </c>
      <c r="D12" s="38" t="s">
        <v>94</v>
      </c>
      <c r="E12" s="38" t="s">
        <v>148</v>
      </c>
      <c r="F12" s="40">
        <v>34218</v>
      </c>
      <c r="G12" s="38" t="s">
        <v>150</v>
      </c>
      <c r="H12" s="40">
        <v>40271</v>
      </c>
      <c r="I12" s="40" t="s">
        <v>217</v>
      </c>
      <c r="J12" s="38" t="s">
        <v>160</v>
      </c>
      <c r="K12" s="38" t="s">
        <v>234</v>
      </c>
      <c r="L12" s="38" t="s">
        <v>155</v>
      </c>
      <c r="M12" s="38" t="s">
        <v>169</v>
      </c>
      <c r="N12" s="40">
        <v>42585</v>
      </c>
      <c r="O12" s="38"/>
      <c r="P12" s="38" t="s">
        <v>163</v>
      </c>
      <c r="Q12" s="41">
        <f ca="1">IF(emp_db[[#This Row],[Exit Date]]&lt;&gt;"",(emp_db[[#This Row],[Exit Date]]-emp_db[[#This Row],[Column1]])/365,IF(emp_db[[#This Row],[ID]]&lt;&gt;"",(TODAY()-emp_db[[#This Row],[Column1]])/365,""))</f>
        <v>6.3397260273972602</v>
      </c>
      <c r="R12" s="42">
        <f ca="1">IF(emp_db[[#This Row],[Date of Birth]]&lt;&gt;"",(TODAY()-emp_db[[#This Row],[Date of Birth]])/365,"")</f>
        <v>27.2</v>
      </c>
      <c r="S12" s="42">
        <f>YEAR(emp_db[[#This Row],[Column1]])</f>
        <v>2010</v>
      </c>
      <c r="T12" s="42">
        <f>MONTH(emp_db[[#This Row],[Column1]])</f>
        <v>4</v>
      </c>
      <c r="U12" s="42">
        <f>IFERROR(YEAR(emp_db[[#This Row],[Exit Date]]),"")</f>
        <v>2016</v>
      </c>
      <c r="V12" s="42">
        <f>IFERROR(MONTH(emp_db[[#This Row],[Exit Date]]),"")</f>
        <v>8</v>
      </c>
    </row>
    <row r="13" spans="1:26">
      <c r="B13" s="38">
        <v>10</v>
      </c>
      <c r="C13" s="39" t="s">
        <v>33</v>
      </c>
      <c r="D13" s="38" t="s">
        <v>95</v>
      </c>
      <c r="E13" s="38" t="s">
        <v>148</v>
      </c>
      <c r="F13" s="40">
        <v>31992</v>
      </c>
      <c r="G13" s="38" t="s">
        <v>150</v>
      </c>
      <c r="H13" s="40">
        <v>41358</v>
      </c>
      <c r="I13" s="40" t="s">
        <v>218</v>
      </c>
      <c r="J13" s="38" t="s">
        <v>160</v>
      </c>
      <c r="K13" s="38" t="s">
        <v>164</v>
      </c>
      <c r="L13" s="38" t="s">
        <v>155</v>
      </c>
      <c r="M13" s="38" t="s">
        <v>253</v>
      </c>
      <c r="N13" s="40">
        <v>43194</v>
      </c>
      <c r="O13" s="38"/>
      <c r="P13" s="38" t="s">
        <v>162</v>
      </c>
      <c r="Q13" s="41">
        <f ca="1">IF(emp_db[[#This Row],[Exit Date]]&lt;&gt;"",(emp_db[[#This Row],[Exit Date]]-emp_db[[#This Row],[Column1]])/365,IF(emp_db[[#This Row],[ID]]&lt;&gt;"",(TODAY()-emp_db[[#This Row],[Column1]])/365,""))</f>
        <v>5.0301369863013701</v>
      </c>
      <c r="R13" s="42">
        <f ca="1">IF(emp_db[[#This Row],[Date of Birth]]&lt;&gt;"",(TODAY()-emp_db[[#This Row],[Date of Birth]])/365,"")</f>
        <v>33.298630136986304</v>
      </c>
      <c r="S13" s="42">
        <f>YEAR(emp_db[[#This Row],[Column1]])</f>
        <v>2013</v>
      </c>
      <c r="T13" s="42">
        <f>MONTH(emp_db[[#This Row],[Column1]])</f>
        <v>3</v>
      </c>
      <c r="U13" s="42">
        <f>IFERROR(YEAR(emp_db[[#This Row],[Exit Date]]),"")</f>
        <v>2018</v>
      </c>
      <c r="V13" s="42">
        <f>IFERROR(MONTH(emp_db[[#This Row],[Exit Date]]),"")</f>
        <v>4</v>
      </c>
    </row>
    <row r="14" spans="1:26">
      <c r="B14" s="38">
        <v>11</v>
      </c>
      <c r="C14" s="39" t="s">
        <v>34</v>
      </c>
      <c r="D14" s="38" t="s">
        <v>96</v>
      </c>
      <c r="E14" s="38" t="s">
        <v>148</v>
      </c>
      <c r="F14" s="40">
        <v>28348</v>
      </c>
      <c r="G14" s="38" t="s">
        <v>150</v>
      </c>
      <c r="H14" s="40">
        <v>41515</v>
      </c>
      <c r="I14" s="40" t="s">
        <v>212</v>
      </c>
      <c r="J14" s="38" t="s">
        <v>156</v>
      </c>
      <c r="K14" s="38" t="s">
        <v>230</v>
      </c>
      <c r="L14" s="38" t="s">
        <v>154</v>
      </c>
      <c r="M14" s="38" t="s">
        <v>170</v>
      </c>
      <c r="N14" s="40" t="s">
        <v>152</v>
      </c>
      <c r="O14" s="38"/>
      <c r="P14" s="38"/>
      <c r="Q14" s="41">
        <f ca="1">IF(emp_db[[#This Row],[Exit Date]]&lt;&gt;"",(emp_db[[#This Row],[Exit Date]]-emp_db[[#This Row],[Column1]])/365,IF(emp_db[[#This Row],[ID]]&lt;&gt;"",(TODAY()-emp_db[[#This Row],[Column1]])/365,""))</f>
        <v>7.2082191780821914</v>
      </c>
      <c r="R14" s="42">
        <f ca="1">IF(emp_db[[#This Row],[Date of Birth]]&lt;&gt;"",(TODAY()-emp_db[[#This Row],[Date of Birth]])/365,"")</f>
        <v>43.282191780821918</v>
      </c>
      <c r="S14" s="42">
        <f>YEAR(emp_db[[#This Row],[Column1]])</f>
        <v>2013</v>
      </c>
      <c r="T14" s="42">
        <f>MONTH(emp_db[[#This Row],[Column1]])</f>
        <v>8</v>
      </c>
      <c r="U14" s="42" t="str">
        <f>IFERROR(YEAR(emp_db[[#This Row],[Exit Date]]),"")</f>
        <v/>
      </c>
      <c r="V14" s="42" t="str">
        <f>IFERROR(MONTH(emp_db[[#This Row],[Exit Date]]),"")</f>
        <v/>
      </c>
    </row>
    <row r="15" spans="1:26">
      <c r="B15" s="38">
        <v>12</v>
      </c>
      <c r="C15" s="39" t="s">
        <v>35</v>
      </c>
      <c r="D15" s="38" t="s">
        <v>97</v>
      </c>
      <c r="E15" s="38" t="s">
        <v>148</v>
      </c>
      <c r="F15" s="40">
        <v>35269</v>
      </c>
      <c r="G15" s="38" t="s">
        <v>151</v>
      </c>
      <c r="H15" s="40">
        <v>41482</v>
      </c>
      <c r="I15" s="40" t="s">
        <v>218</v>
      </c>
      <c r="J15" s="38" t="s">
        <v>157</v>
      </c>
      <c r="K15" s="38" t="s">
        <v>227</v>
      </c>
      <c r="L15" s="38" t="s">
        <v>153</v>
      </c>
      <c r="M15" s="38" t="s">
        <v>262</v>
      </c>
      <c r="N15" s="40" t="s">
        <v>152</v>
      </c>
      <c r="O15" s="38"/>
      <c r="P15" s="38"/>
      <c r="Q15" s="41">
        <f ca="1">IF(emp_db[[#This Row],[Exit Date]]&lt;&gt;"",(emp_db[[#This Row],[Exit Date]]-emp_db[[#This Row],[Column1]])/365,IF(emp_db[[#This Row],[ID]]&lt;&gt;"",(TODAY()-emp_db[[#This Row],[Column1]])/365,""))</f>
        <v>7.2986301369863016</v>
      </c>
      <c r="R15" s="42">
        <f ca="1">IF(emp_db[[#This Row],[Date of Birth]]&lt;&gt;"",(TODAY()-emp_db[[#This Row],[Date of Birth]])/365,"")</f>
        <v>24.32054794520548</v>
      </c>
      <c r="S15" s="42">
        <f>YEAR(emp_db[[#This Row],[Column1]])</f>
        <v>2013</v>
      </c>
      <c r="T15" s="42">
        <f>MONTH(emp_db[[#This Row],[Column1]])</f>
        <v>7</v>
      </c>
      <c r="U15" s="42" t="str">
        <f>IFERROR(YEAR(emp_db[[#This Row],[Exit Date]]),"")</f>
        <v/>
      </c>
      <c r="V15" s="42" t="str">
        <f>IFERROR(MONTH(emp_db[[#This Row],[Exit Date]]),"")</f>
        <v/>
      </c>
    </row>
    <row r="16" spans="1:26">
      <c r="B16" s="38">
        <v>13</v>
      </c>
      <c r="C16" s="39" t="s">
        <v>36</v>
      </c>
      <c r="D16" s="38" t="s">
        <v>98</v>
      </c>
      <c r="E16" s="38" t="s">
        <v>148</v>
      </c>
      <c r="F16" s="40">
        <v>30782</v>
      </c>
      <c r="G16" s="38" t="s">
        <v>150</v>
      </c>
      <c r="H16" s="40">
        <v>41512</v>
      </c>
      <c r="I16" s="40" t="s">
        <v>217</v>
      </c>
      <c r="J16" s="38" t="s">
        <v>161</v>
      </c>
      <c r="K16" s="38" t="s">
        <v>227</v>
      </c>
      <c r="L16" s="38" t="s">
        <v>154</v>
      </c>
      <c r="M16" s="38" t="s">
        <v>169</v>
      </c>
      <c r="N16" s="40">
        <v>43052</v>
      </c>
      <c r="O16" s="38"/>
      <c r="P16" s="38" t="s">
        <v>162</v>
      </c>
      <c r="Q16" s="41">
        <f ca="1">IF(emp_db[[#This Row],[Exit Date]]&lt;&gt;"",(emp_db[[#This Row],[Exit Date]]-emp_db[[#This Row],[Column1]])/365,IF(emp_db[[#This Row],[ID]]&lt;&gt;"",(TODAY()-emp_db[[#This Row],[Column1]])/365,""))</f>
        <v>4.2191780821917808</v>
      </c>
      <c r="R16" s="42">
        <f ca="1">IF(emp_db[[#This Row],[Date of Birth]]&lt;&gt;"",(TODAY()-emp_db[[#This Row],[Date of Birth]])/365,"")</f>
        <v>36.613698630136987</v>
      </c>
      <c r="S16" s="42">
        <f>YEAR(emp_db[[#This Row],[Column1]])</f>
        <v>2013</v>
      </c>
      <c r="T16" s="42">
        <f>MONTH(emp_db[[#This Row],[Column1]])</f>
        <v>8</v>
      </c>
      <c r="U16" s="42">
        <f>IFERROR(YEAR(emp_db[[#This Row],[Exit Date]]),"")</f>
        <v>2017</v>
      </c>
      <c r="V16" s="42">
        <f>IFERROR(MONTH(emp_db[[#This Row],[Exit Date]]),"")</f>
        <v>11</v>
      </c>
    </row>
    <row r="17" spans="2:22">
      <c r="B17" s="38">
        <v>14</v>
      </c>
      <c r="C17" s="39" t="s">
        <v>37</v>
      </c>
      <c r="D17" s="38" t="s">
        <v>99</v>
      </c>
      <c r="E17" s="38" t="s">
        <v>148</v>
      </c>
      <c r="F17" s="40">
        <v>31741</v>
      </c>
      <c r="G17" s="38" t="s">
        <v>151</v>
      </c>
      <c r="H17" s="40">
        <v>42095</v>
      </c>
      <c r="I17" s="40" t="s">
        <v>217</v>
      </c>
      <c r="J17" s="38" t="s">
        <v>157</v>
      </c>
      <c r="K17" s="38" t="s">
        <v>226</v>
      </c>
      <c r="L17" s="38" t="s">
        <v>153</v>
      </c>
      <c r="M17" s="38" t="s">
        <v>251</v>
      </c>
      <c r="N17" s="40" t="s">
        <v>152</v>
      </c>
      <c r="O17" s="38"/>
      <c r="P17" s="38"/>
      <c r="Q17" s="41">
        <f ca="1">IF(emp_db[[#This Row],[Exit Date]]&lt;&gt;"",(emp_db[[#This Row],[Exit Date]]-emp_db[[#This Row],[Column1]])/365,IF(emp_db[[#This Row],[ID]]&lt;&gt;"",(TODAY()-emp_db[[#This Row],[Column1]])/365,""))</f>
        <v>5.6191780821917812</v>
      </c>
      <c r="R17" s="42">
        <f ca="1">IF(emp_db[[#This Row],[Date of Birth]]&lt;&gt;"",(TODAY()-emp_db[[#This Row],[Date of Birth]])/365,"")</f>
        <v>33.986301369863014</v>
      </c>
      <c r="S17" s="42">
        <f>YEAR(emp_db[[#This Row],[Column1]])</f>
        <v>2015</v>
      </c>
      <c r="T17" s="42">
        <f>MONTH(emp_db[[#This Row],[Column1]])</f>
        <v>4</v>
      </c>
      <c r="U17" s="42" t="str">
        <f>IFERROR(YEAR(emp_db[[#This Row],[Exit Date]]),"")</f>
        <v/>
      </c>
      <c r="V17" s="42" t="str">
        <f>IFERROR(MONTH(emp_db[[#This Row],[Exit Date]]),"")</f>
        <v/>
      </c>
    </row>
    <row r="18" spans="2:22">
      <c r="B18" s="38">
        <v>15</v>
      </c>
      <c r="C18" s="39" t="s">
        <v>38</v>
      </c>
      <c r="D18" s="38" t="s">
        <v>100</v>
      </c>
      <c r="E18" s="38" t="s">
        <v>148</v>
      </c>
      <c r="F18" s="40">
        <v>31307</v>
      </c>
      <c r="G18" s="38" t="s">
        <v>151</v>
      </c>
      <c r="H18" s="40">
        <v>41653</v>
      </c>
      <c r="I18" s="40" t="s">
        <v>216</v>
      </c>
      <c r="J18" s="38" t="s">
        <v>159</v>
      </c>
      <c r="K18" s="38" t="s">
        <v>229</v>
      </c>
      <c r="L18" s="38" t="s">
        <v>154</v>
      </c>
      <c r="M18" s="38" t="s">
        <v>229</v>
      </c>
      <c r="N18" s="40">
        <v>42427</v>
      </c>
      <c r="O18" s="38"/>
      <c r="P18" s="38" t="s">
        <v>163</v>
      </c>
      <c r="Q18" s="41">
        <f ca="1">IF(emp_db[[#This Row],[Exit Date]]&lt;&gt;"",(emp_db[[#This Row],[Exit Date]]-emp_db[[#This Row],[Column1]])/365,IF(emp_db[[#This Row],[ID]]&lt;&gt;"",(TODAY()-emp_db[[#This Row],[Column1]])/365,""))</f>
        <v>2.1205479452054794</v>
      </c>
      <c r="R18" s="42">
        <f ca="1">IF(emp_db[[#This Row],[Date of Birth]]&lt;&gt;"",(TODAY()-emp_db[[#This Row],[Date of Birth]])/365,"")</f>
        <v>35.175342465753424</v>
      </c>
      <c r="S18" s="42">
        <f>YEAR(emp_db[[#This Row],[Column1]])</f>
        <v>2014</v>
      </c>
      <c r="T18" s="42">
        <f>MONTH(emp_db[[#This Row],[Column1]])</f>
        <v>1</v>
      </c>
      <c r="U18" s="42">
        <f>IFERROR(YEAR(emp_db[[#This Row],[Exit Date]]),"")</f>
        <v>2016</v>
      </c>
      <c r="V18" s="42">
        <f>IFERROR(MONTH(emp_db[[#This Row],[Exit Date]]),"")</f>
        <v>2</v>
      </c>
    </row>
    <row r="19" spans="2:22">
      <c r="B19" s="38">
        <v>16</v>
      </c>
      <c r="C19" s="39" t="s">
        <v>39</v>
      </c>
      <c r="D19" s="38" t="s">
        <v>101</v>
      </c>
      <c r="E19" s="38" t="s">
        <v>148</v>
      </c>
      <c r="F19" s="40">
        <v>28643</v>
      </c>
      <c r="G19" s="38" t="s">
        <v>151</v>
      </c>
      <c r="H19" s="40">
        <v>41997</v>
      </c>
      <c r="I19" s="40" t="s">
        <v>212</v>
      </c>
      <c r="J19" s="38" t="s">
        <v>157</v>
      </c>
      <c r="K19" s="38" t="s">
        <v>230</v>
      </c>
      <c r="L19" s="38" t="s">
        <v>154</v>
      </c>
      <c r="M19" s="38" t="s">
        <v>170</v>
      </c>
      <c r="N19" s="40" t="s">
        <v>152</v>
      </c>
      <c r="O19" s="38"/>
      <c r="P19" s="38"/>
      <c r="Q19" s="41">
        <f ca="1">IF(emp_db[[#This Row],[Exit Date]]&lt;&gt;"",(emp_db[[#This Row],[Exit Date]]-emp_db[[#This Row],[Column1]])/365,IF(emp_db[[#This Row],[ID]]&lt;&gt;"",(TODAY()-emp_db[[#This Row],[Column1]])/365,""))</f>
        <v>5.8876712328767127</v>
      </c>
      <c r="R19" s="42">
        <f ca="1">IF(emp_db[[#This Row],[Date of Birth]]&lt;&gt;"",(TODAY()-emp_db[[#This Row],[Date of Birth]])/365,"")</f>
        <v>42.473972602739728</v>
      </c>
      <c r="S19" s="42">
        <f>YEAR(emp_db[[#This Row],[Column1]])</f>
        <v>2014</v>
      </c>
      <c r="T19" s="42">
        <f>MONTH(emp_db[[#This Row],[Column1]])</f>
        <v>12</v>
      </c>
      <c r="U19" s="42" t="str">
        <f>IFERROR(YEAR(emp_db[[#This Row],[Exit Date]]),"")</f>
        <v/>
      </c>
      <c r="V19" s="42" t="str">
        <f>IFERROR(MONTH(emp_db[[#This Row],[Exit Date]]),"")</f>
        <v/>
      </c>
    </row>
    <row r="20" spans="2:22">
      <c r="B20" s="38">
        <v>17</v>
      </c>
      <c r="C20" s="39" t="s">
        <v>40</v>
      </c>
      <c r="D20" s="38" t="s">
        <v>102</v>
      </c>
      <c r="E20" s="38" t="s">
        <v>148</v>
      </c>
      <c r="F20" s="40">
        <v>28608</v>
      </c>
      <c r="G20" s="38" t="s">
        <v>151</v>
      </c>
      <c r="H20" s="40">
        <v>41614</v>
      </c>
      <c r="I20" s="40" t="s">
        <v>214</v>
      </c>
      <c r="J20" s="38" t="s">
        <v>158</v>
      </c>
      <c r="K20" s="38" t="s">
        <v>164</v>
      </c>
      <c r="L20" s="38" t="s">
        <v>154</v>
      </c>
      <c r="M20" s="38" t="s">
        <v>165</v>
      </c>
      <c r="N20" s="40" t="s">
        <v>152</v>
      </c>
      <c r="O20" s="38"/>
      <c r="P20" s="38"/>
      <c r="Q20" s="41">
        <f ca="1">IF(emp_db[[#This Row],[Exit Date]]&lt;&gt;"",(emp_db[[#This Row],[Exit Date]]-emp_db[[#This Row],[Column1]])/365,IF(emp_db[[#This Row],[ID]]&lt;&gt;"",(TODAY()-emp_db[[#This Row],[Column1]])/365,""))</f>
        <v>6.9369863013698634</v>
      </c>
      <c r="R20" s="42">
        <f ca="1">IF(emp_db[[#This Row],[Date of Birth]]&lt;&gt;"",(TODAY()-emp_db[[#This Row],[Date of Birth]])/365,"")</f>
        <v>42.56986301369863</v>
      </c>
      <c r="S20" s="42">
        <f>YEAR(emp_db[[#This Row],[Column1]])</f>
        <v>2013</v>
      </c>
      <c r="T20" s="42">
        <f>MONTH(emp_db[[#This Row],[Column1]])</f>
        <v>12</v>
      </c>
      <c r="U20" s="42" t="str">
        <f>IFERROR(YEAR(emp_db[[#This Row],[Exit Date]]),"")</f>
        <v/>
      </c>
      <c r="V20" s="42" t="str">
        <f>IFERROR(MONTH(emp_db[[#This Row],[Exit Date]]),"")</f>
        <v/>
      </c>
    </row>
    <row r="21" spans="2:22">
      <c r="B21" s="38">
        <v>18</v>
      </c>
      <c r="C21" s="39" t="s">
        <v>41</v>
      </c>
      <c r="D21" s="38" t="s">
        <v>103</v>
      </c>
      <c r="E21" s="38" t="s">
        <v>148</v>
      </c>
      <c r="F21" s="40">
        <v>31540</v>
      </c>
      <c r="G21" s="38" t="s">
        <v>150</v>
      </c>
      <c r="H21" s="40">
        <v>43835</v>
      </c>
      <c r="I21" s="40" t="s">
        <v>217</v>
      </c>
      <c r="J21" s="38" t="s">
        <v>161</v>
      </c>
      <c r="K21" s="38" t="s">
        <v>164</v>
      </c>
      <c r="L21" s="38" t="s">
        <v>154</v>
      </c>
      <c r="M21" s="38" t="s">
        <v>171</v>
      </c>
      <c r="N21" s="40" t="s">
        <v>152</v>
      </c>
      <c r="O21" s="38"/>
      <c r="P21" s="38"/>
      <c r="Q21" s="41">
        <f ca="1">IF(emp_db[[#This Row],[Exit Date]]&lt;&gt;"",(emp_db[[#This Row],[Exit Date]]-emp_db[[#This Row],[Column1]])/365,IF(emp_db[[#This Row],[ID]]&lt;&gt;"",(TODAY()-emp_db[[#This Row],[Column1]])/365,""))</f>
        <v>0.852054794520548</v>
      </c>
      <c r="R21" s="42">
        <f ca="1">IF(emp_db[[#This Row],[Date of Birth]]&lt;&gt;"",(TODAY()-emp_db[[#This Row],[Date of Birth]])/365,"")</f>
        <v>34.536986301369865</v>
      </c>
      <c r="S21" s="42">
        <f>YEAR(emp_db[[#This Row],[Column1]])</f>
        <v>2020</v>
      </c>
      <c r="T21" s="42">
        <f>MONTH(emp_db[[#This Row],[Column1]])</f>
        <v>1</v>
      </c>
      <c r="U21" s="42" t="str">
        <f>IFERROR(YEAR(emp_db[[#This Row],[Exit Date]]),"")</f>
        <v/>
      </c>
      <c r="V21" s="42" t="str">
        <f>IFERROR(MONTH(emp_db[[#This Row],[Exit Date]]),"")</f>
        <v/>
      </c>
    </row>
    <row r="22" spans="2:22">
      <c r="B22" s="38">
        <v>19</v>
      </c>
      <c r="C22" s="39" t="s">
        <v>42</v>
      </c>
      <c r="D22" s="38" t="s">
        <v>104</v>
      </c>
      <c r="E22" s="38" t="s">
        <v>148</v>
      </c>
      <c r="F22" s="40">
        <v>35008</v>
      </c>
      <c r="G22" s="38" t="s">
        <v>151</v>
      </c>
      <c r="H22" s="40">
        <v>42497</v>
      </c>
      <c r="I22" s="40" t="s">
        <v>216</v>
      </c>
      <c r="J22" s="38" t="s">
        <v>159</v>
      </c>
      <c r="K22" s="38" t="s">
        <v>230</v>
      </c>
      <c r="L22" s="38" t="s">
        <v>154</v>
      </c>
      <c r="M22" s="38" t="s">
        <v>170</v>
      </c>
      <c r="N22" s="40" t="s">
        <v>152</v>
      </c>
      <c r="O22" s="38"/>
      <c r="P22" s="38"/>
      <c r="Q22" s="41">
        <f ca="1">IF(emp_db[[#This Row],[Exit Date]]&lt;&gt;"",(emp_db[[#This Row],[Exit Date]]-emp_db[[#This Row],[Column1]])/365,IF(emp_db[[#This Row],[ID]]&lt;&gt;"",(TODAY()-emp_db[[#This Row],[Column1]])/365,""))</f>
        <v>4.5178082191780824</v>
      </c>
      <c r="R22" s="42">
        <f ca="1">IF(emp_db[[#This Row],[Date of Birth]]&lt;&gt;"",(TODAY()-emp_db[[#This Row],[Date of Birth]])/365,"")</f>
        <v>25.035616438356165</v>
      </c>
      <c r="S22" s="42">
        <f>YEAR(emp_db[[#This Row],[Column1]])</f>
        <v>2016</v>
      </c>
      <c r="T22" s="42">
        <f>MONTH(emp_db[[#This Row],[Column1]])</f>
        <v>5</v>
      </c>
      <c r="U22" s="42" t="str">
        <f>IFERROR(YEAR(emp_db[[#This Row],[Exit Date]]),"")</f>
        <v/>
      </c>
      <c r="V22" s="42" t="str">
        <f>IFERROR(MONTH(emp_db[[#This Row],[Exit Date]]),"")</f>
        <v/>
      </c>
    </row>
    <row r="23" spans="2:22">
      <c r="B23" s="38">
        <v>20</v>
      </c>
      <c r="C23" s="39" t="s">
        <v>43</v>
      </c>
      <c r="D23" s="38" t="s">
        <v>105</v>
      </c>
      <c r="E23" s="38" t="s">
        <v>148</v>
      </c>
      <c r="F23" s="40">
        <v>32369</v>
      </c>
      <c r="G23" s="38" t="s">
        <v>150</v>
      </c>
      <c r="H23" s="40">
        <v>42099</v>
      </c>
      <c r="I23" s="40" t="s">
        <v>218</v>
      </c>
      <c r="J23" s="38" t="s">
        <v>160</v>
      </c>
      <c r="K23" s="38" t="s">
        <v>229</v>
      </c>
      <c r="L23" s="38" t="s">
        <v>155</v>
      </c>
      <c r="M23" s="38" t="s">
        <v>229</v>
      </c>
      <c r="N23" s="40">
        <v>43055</v>
      </c>
      <c r="O23" s="38"/>
      <c r="P23" s="38" t="s">
        <v>162</v>
      </c>
      <c r="Q23" s="41">
        <f ca="1">IF(emp_db[[#This Row],[Exit Date]]&lt;&gt;"",(emp_db[[#This Row],[Exit Date]]-emp_db[[#This Row],[Column1]])/365,IF(emp_db[[#This Row],[ID]]&lt;&gt;"",(TODAY()-emp_db[[#This Row],[Column1]])/365,""))</f>
        <v>2.6191780821917807</v>
      </c>
      <c r="R23" s="42">
        <f ca="1">IF(emp_db[[#This Row],[Date of Birth]]&lt;&gt;"",(TODAY()-emp_db[[#This Row],[Date of Birth]])/365,"")</f>
        <v>32.265753424657532</v>
      </c>
      <c r="S23" s="42">
        <f>YEAR(emp_db[[#This Row],[Column1]])</f>
        <v>2015</v>
      </c>
      <c r="T23" s="42">
        <f>MONTH(emp_db[[#This Row],[Column1]])</f>
        <v>4</v>
      </c>
      <c r="U23" s="42">
        <f>IFERROR(YEAR(emp_db[[#This Row],[Exit Date]]),"")</f>
        <v>2017</v>
      </c>
      <c r="V23" s="42">
        <f>IFERROR(MONTH(emp_db[[#This Row],[Exit Date]]),"")</f>
        <v>11</v>
      </c>
    </row>
    <row r="24" spans="2:22">
      <c r="B24" s="38">
        <v>21</v>
      </c>
      <c r="C24" s="39" t="s">
        <v>44</v>
      </c>
      <c r="D24" s="38" t="s">
        <v>106</v>
      </c>
      <c r="E24" s="38" t="s">
        <v>148</v>
      </c>
      <c r="F24" s="40">
        <v>27747</v>
      </c>
      <c r="G24" s="38" t="s">
        <v>150</v>
      </c>
      <c r="H24" s="40">
        <v>42895</v>
      </c>
      <c r="I24" s="40" t="s">
        <v>212</v>
      </c>
      <c r="J24" s="38" t="s">
        <v>158</v>
      </c>
      <c r="K24" s="38" t="s">
        <v>164</v>
      </c>
      <c r="L24" s="38" t="s">
        <v>153</v>
      </c>
      <c r="M24" s="38" t="s">
        <v>256</v>
      </c>
      <c r="N24" s="40" t="s">
        <v>152</v>
      </c>
      <c r="O24" s="38"/>
      <c r="P24" s="38"/>
      <c r="Q24" s="41">
        <f ca="1">IF(emp_db[[#This Row],[Exit Date]]&lt;&gt;"",(emp_db[[#This Row],[Exit Date]]-emp_db[[#This Row],[Column1]])/365,IF(emp_db[[#This Row],[ID]]&lt;&gt;"",(TODAY()-emp_db[[#This Row],[Column1]])/365,""))</f>
        <v>3.4273972602739726</v>
      </c>
      <c r="R24" s="42">
        <f ca="1">IF(emp_db[[#This Row],[Date of Birth]]&lt;&gt;"",(TODAY()-emp_db[[#This Row],[Date of Birth]])/365,"")</f>
        <v>44.92876712328767</v>
      </c>
      <c r="S24" s="42">
        <f>YEAR(emp_db[[#This Row],[Column1]])</f>
        <v>2017</v>
      </c>
      <c r="T24" s="42">
        <f>MONTH(emp_db[[#This Row],[Column1]])</f>
        <v>6</v>
      </c>
      <c r="U24" s="42" t="str">
        <f>IFERROR(YEAR(emp_db[[#This Row],[Exit Date]]),"")</f>
        <v/>
      </c>
      <c r="V24" s="42" t="str">
        <f>IFERROR(MONTH(emp_db[[#This Row],[Exit Date]]),"")</f>
        <v/>
      </c>
    </row>
    <row r="25" spans="2:22">
      <c r="B25" s="38">
        <v>22</v>
      </c>
      <c r="C25" s="39" t="s">
        <v>45</v>
      </c>
      <c r="D25" s="38" t="s">
        <v>107</v>
      </c>
      <c r="E25" s="38" t="s">
        <v>148</v>
      </c>
      <c r="F25" s="40">
        <v>28976</v>
      </c>
      <c r="G25" s="38" t="s">
        <v>151</v>
      </c>
      <c r="H25" s="40">
        <v>43004</v>
      </c>
      <c r="I25" s="40" t="s">
        <v>212</v>
      </c>
      <c r="J25" s="38" t="s">
        <v>159</v>
      </c>
      <c r="K25" s="38" t="s">
        <v>230</v>
      </c>
      <c r="L25" s="38" t="s">
        <v>154</v>
      </c>
      <c r="M25" s="38" t="s">
        <v>233</v>
      </c>
      <c r="N25" s="40" t="s">
        <v>152</v>
      </c>
      <c r="O25" s="38"/>
      <c r="P25" s="38"/>
      <c r="Q25" s="41">
        <f ca="1">IF(emp_db[[#This Row],[Exit Date]]&lt;&gt;"",(emp_db[[#This Row],[Exit Date]]-emp_db[[#This Row],[Column1]])/365,IF(emp_db[[#This Row],[ID]]&lt;&gt;"",(TODAY()-emp_db[[#This Row],[Column1]])/365,""))</f>
        <v>3.128767123287671</v>
      </c>
      <c r="R25" s="42">
        <f ca="1">IF(emp_db[[#This Row],[Date of Birth]]&lt;&gt;"",(TODAY()-emp_db[[#This Row],[Date of Birth]])/365,"")</f>
        <v>41.561643835616437</v>
      </c>
      <c r="S25" s="42">
        <f>YEAR(emp_db[[#This Row],[Column1]])</f>
        <v>2017</v>
      </c>
      <c r="T25" s="42">
        <f>MONTH(emp_db[[#This Row],[Column1]])</f>
        <v>9</v>
      </c>
      <c r="U25" s="42" t="str">
        <f>IFERROR(YEAR(emp_db[[#This Row],[Exit Date]]),"")</f>
        <v/>
      </c>
      <c r="V25" s="42" t="str">
        <f>IFERROR(MONTH(emp_db[[#This Row],[Exit Date]]),"")</f>
        <v/>
      </c>
    </row>
    <row r="26" spans="2:22">
      <c r="B26" s="38">
        <v>23</v>
      </c>
      <c r="C26" s="39" t="s">
        <v>46</v>
      </c>
      <c r="D26" s="38" t="s">
        <v>108</v>
      </c>
      <c r="E26" s="38" t="s">
        <v>148</v>
      </c>
      <c r="F26" s="40">
        <v>30481</v>
      </c>
      <c r="G26" s="38" t="s">
        <v>151</v>
      </c>
      <c r="H26" s="40">
        <v>42435</v>
      </c>
      <c r="I26" s="40" t="s">
        <v>214</v>
      </c>
      <c r="J26" s="38" t="s">
        <v>157</v>
      </c>
      <c r="K26" s="38" t="s">
        <v>229</v>
      </c>
      <c r="L26" s="38" t="s">
        <v>155</v>
      </c>
      <c r="M26" s="38" t="s">
        <v>229</v>
      </c>
      <c r="N26" s="40">
        <v>43037</v>
      </c>
      <c r="O26" s="38"/>
      <c r="P26" s="38" t="s">
        <v>162</v>
      </c>
      <c r="Q26" s="41">
        <f ca="1">IF(emp_db[[#This Row],[Exit Date]]&lt;&gt;"",(emp_db[[#This Row],[Exit Date]]-emp_db[[#This Row],[Column1]])/365,IF(emp_db[[#This Row],[ID]]&lt;&gt;"",(TODAY()-emp_db[[#This Row],[Column1]])/365,""))</f>
        <v>1.6493150684931508</v>
      </c>
      <c r="R26" s="42">
        <f ca="1">IF(emp_db[[#This Row],[Date of Birth]]&lt;&gt;"",(TODAY()-emp_db[[#This Row],[Date of Birth]])/365,"")</f>
        <v>37.438356164383563</v>
      </c>
      <c r="S26" s="42">
        <f>YEAR(emp_db[[#This Row],[Column1]])</f>
        <v>2016</v>
      </c>
      <c r="T26" s="42">
        <f>MONTH(emp_db[[#This Row],[Column1]])</f>
        <v>3</v>
      </c>
      <c r="U26" s="42">
        <f>IFERROR(YEAR(emp_db[[#This Row],[Exit Date]]),"")</f>
        <v>2017</v>
      </c>
      <c r="V26" s="42">
        <f>IFERROR(MONTH(emp_db[[#This Row],[Exit Date]]),"")</f>
        <v>10</v>
      </c>
    </row>
    <row r="27" spans="2:22">
      <c r="B27" s="38">
        <v>24</v>
      </c>
      <c r="C27" s="39" t="s">
        <v>47</v>
      </c>
      <c r="D27" s="38" t="s">
        <v>109</v>
      </c>
      <c r="E27" s="38" t="s">
        <v>148</v>
      </c>
      <c r="F27" s="40">
        <v>31605</v>
      </c>
      <c r="G27" s="38" t="s">
        <v>151</v>
      </c>
      <c r="H27" s="40">
        <v>42373</v>
      </c>
      <c r="I27" s="40" t="s">
        <v>212</v>
      </c>
      <c r="J27" s="38" t="s">
        <v>161</v>
      </c>
      <c r="K27" s="38" t="s">
        <v>230</v>
      </c>
      <c r="L27" s="38" t="s">
        <v>155</v>
      </c>
      <c r="M27" s="38" t="s">
        <v>170</v>
      </c>
      <c r="N27" s="40">
        <v>43169</v>
      </c>
      <c r="O27" s="38"/>
      <c r="P27" s="38" t="s">
        <v>162</v>
      </c>
      <c r="Q27" s="41">
        <f ca="1">IF(emp_db[[#This Row],[Exit Date]]&lt;&gt;"",(emp_db[[#This Row],[Exit Date]]-emp_db[[#This Row],[Column1]])/365,IF(emp_db[[#This Row],[ID]]&lt;&gt;"",(TODAY()-emp_db[[#This Row],[Column1]])/365,""))</f>
        <v>2.1808219178082191</v>
      </c>
      <c r="R27" s="42">
        <f ca="1">IF(emp_db[[#This Row],[Date of Birth]]&lt;&gt;"",(TODAY()-emp_db[[#This Row],[Date of Birth]])/365,"")</f>
        <v>34.358904109589041</v>
      </c>
      <c r="S27" s="42">
        <f>YEAR(emp_db[[#This Row],[Column1]])</f>
        <v>2016</v>
      </c>
      <c r="T27" s="42">
        <f>MONTH(emp_db[[#This Row],[Column1]])</f>
        <v>1</v>
      </c>
      <c r="U27" s="42">
        <f>IFERROR(YEAR(emp_db[[#This Row],[Exit Date]]),"")</f>
        <v>2018</v>
      </c>
      <c r="V27" s="42">
        <f>IFERROR(MONTH(emp_db[[#This Row],[Exit Date]]),"")</f>
        <v>3</v>
      </c>
    </row>
    <row r="28" spans="2:22">
      <c r="B28" s="38">
        <v>25</v>
      </c>
      <c r="C28" s="39" t="s">
        <v>48</v>
      </c>
      <c r="D28" s="38" t="s">
        <v>110</v>
      </c>
      <c r="E28" s="38" t="s">
        <v>148</v>
      </c>
      <c r="F28" s="40">
        <v>31027</v>
      </c>
      <c r="G28" s="38" t="s">
        <v>151</v>
      </c>
      <c r="H28" s="40">
        <v>40122</v>
      </c>
      <c r="I28" s="40" t="s">
        <v>216</v>
      </c>
      <c r="J28" s="38" t="s">
        <v>158</v>
      </c>
      <c r="K28" s="38" t="s">
        <v>231</v>
      </c>
      <c r="L28" s="38" t="s">
        <v>153</v>
      </c>
      <c r="M28" s="38" t="s">
        <v>255</v>
      </c>
      <c r="N28" s="40">
        <v>43575</v>
      </c>
      <c r="O28" s="38"/>
      <c r="P28" s="38" t="s">
        <v>163</v>
      </c>
      <c r="Q28" s="41">
        <f ca="1">IF(emp_db[[#This Row],[Exit Date]]&lt;&gt;"",(emp_db[[#This Row],[Exit Date]]-emp_db[[#This Row],[Column1]])/365,IF(emp_db[[#This Row],[ID]]&lt;&gt;"",(TODAY()-emp_db[[#This Row],[Column1]])/365,""))</f>
        <v>9.4602739726027405</v>
      </c>
      <c r="R28" s="42">
        <f ca="1">IF(emp_db[[#This Row],[Date of Birth]]&lt;&gt;"",(TODAY()-emp_db[[#This Row],[Date of Birth]])/365,"")</f>
        <v>35.942465753424656</v>
      </c>
      <c r="S28" s="42">
        <f>YEAR(emp_db[[#This Row],[Column1]])</f>
        <v>2009</v>
      </c>
      <c r="T28" s="42">
        <f>MONTH(emp_db[[#This Row],[Column1]])</f>
        <v>11</v>
      </c>
      <c r="U28" s="42">
        <f>IFERROR(YEAR(emp_db[[#This Row],[Exit Date]]),"")</f>
        <v>2019</v>
      </c>
      <c r="V28" s="42">
        <f>IFERROR(MONTH(emp_db[[#This Row],[Exit Date]]),"")</f>
        <v>4</v>
      </c>
    </row>
    <row r="29" spans="2:22">
      <c r="B29" s="38">
        <v>26</v>
      </c>
      <c r="C29" s="39" t="s">
        <v>49</v>
      </c>
      <c r="D29" s="38" t="s">
        <v>111</v>
      </c>
      <c r="E29" s="38" t="s">
        <v>148</v>
      </c>
      <c r="F29" s="40">
        <v>33172</v>
      </c>
      <c r="G29" s="38" t="s">
        <v>150</v>
      </c>
      <c r="H29" s="40">
        <v>40905</v>
      </c>
      <c r="I29" s="40" t="s">
        <v>216</v>
      </c>
      <c r="J29" s="38" t="s">
        <v>159</v>
      </c>
      <c r="K29" s="38" t="s">
        <v>165</v>
      </c>
      <c r="L29" s="38" t="s">
        <v>154</v>
      </c>
      <c r="M29" s="38" t="s">
        <v>165</v>
      </c>
      <c r="N29" s="40">
        <v>42883</v>
      </c>
      <c r="O29" s="38"/>
      <c r="P29" s="38" t="s">
        <v>162</v>
      </c>
      <c r="Q29" s="41">
        <f ca="1">IF(emp_db[[#This Row],[Exit Date]]&lt;&gt;"",(emp_db[[#This Row],[Exit Date]]-emp_db[[#This Row],[Column1]])/365,IF(emp_db[[#This Row],[ID]]&lt;&gt;"",(TODAY()-emp_db[[#This Row],[Column1]])/365,""))</f>
        <v>5.419178082191781</v>
      </c>
      <c r="R29" s="42">
        <f ca="1">IF(emp_db[[#This Row],[Date of Birth]]&lt;&gt;"",(TODAY()-emp_db[[#This Row],[Date of Birth]])/365,"")</f>
        <v>30.065753424657533</v>
      </c>
      <c r="S29" s="42">
        <f>YEAR(emp_db[[#This Row],[Column1]])</f>
        <v>2011</v>
      </c>
      <c r="T29" s="42">
        <f>MONTH(emp_db[[#This Row],[Column1]])</f>
        <v>12</v>
      </c>
      <c r="U29" s="42">
        <f>IFERROR(YEAR(emp_db[[#This Row],[Exit Date]]),"")</f>
        <v>2017</v>
      </c>
      <c r="V29" s="42">
        <f>IFERROR(MONTH(emp_db[[#This Row],[Exit Date]]),"")</f>
        <v>5</v>
      </c>
    </row>
    <row r="30" spans="2:22">
      <c r="B30" s="38">
        <v>27</v>
      </c>
      <c r="C30" s="39" t="s">
        <v>50</v>
      </c>
      <c r="D30" s="38" t="s">
        <v>112</v>
      </c>
      <c r="E30" s="38" t="s">
        <v>148</v>
      </c>
      <c r="F30" s="40">
        <v>32278</v>
      </c>
      <c r="G30" s="38" t="s">
        <v>151</v>
      </c>
      <c r="H30" s="40">
        <v>41760</v>
      </c>
      <c r="I30" s="40" t="s">
        <v>217</v>
      </c>
      <c r="J30" s="38" t="s">
        <v>157</v>
      </c>
      <c r="K30" s="38" t="s">
        <v>165</v>
      </c>
      <c r="L30" s="38" t="s">
        <v>154</v>
      </c>
      <c r="M30" s="38" t="s">
        <v>165</v>
      </c>
      <c r="N30" s="40" t="s">
        <v>152</v>
      </c>
      <c r="O30" s="38"/>
      <c r="P30" s="38"/>
      <c r="Q30" s="41">
        <f ca="1">IF(emp_db[[#This Row],[Exit Date]]&lt;&gt;"",(emp_db[[#This Row],[Exit Date]]-emp_db[[#This Row],[Column1]])/365,IF(emp_db[[#This Row],[ID]]&lt;&gt;"",(TODAY()-emp_db[[#This Row],[Column1]])/365,""))</f>
        <v>6.536986301369863</v>
      </c>
      <c r="R30" s="42">
        <f ca="1">IF(emp_db[[#This Row],[Date of Birth]]&lt;&gt;"",(TODAY()-emp_db[[#This Row],[Date of Birth]])/365,"")</f>
        <v>32.515068493150686</v>
      </c>
      <c r="S30" s="42">
        <f>YEAR(emp_db[[#This Row],[Column1]])</f>
        <v>2014</v>
      </c>
      <c r="T30" s="42">
        <f>MONTH(emp_db[[#This Row],[Column1]])</f>
        <v>5</v>
      </c>
      <c r="U30" s="42" t="str">
        <f>IFERROR(YEAR(emp_db[[#This Row],[Exit Date]]),"")</f>
        <v/>
      </c>
      <c r="V30" s="42" t="str">
        <f>IFERROR(MONTH(emp_db[[#This Row],[Exit Date]]),"")</f>
        <v/>
      </c>
    </row>
    <row r="31" spans="2:22">
      <c r="B31" s="38">
        <v>28</v>
      </c>
      <c r="C31" s="39" t="s">
        <v>51</v>
      </c>
      <c r="D31" s="38" t="s">
        <v>113</v>
      </c>
      <c r="E31" s="38" t="s">
        <v>148</v>
      </c>
      <c r="F31" s="40">
        <v>31557</v>
      </c>
      <c r="G31" s="38" t="s">
        <v>151</v>
      </c>
      <c r="H31" s="40">
        <v>42669</v>
      </c>
      <c r="I31" s="40" t="s">
        <v>217</v>
      </c>
      <c r="J31" s="38" t="s">
        <v>158</v>
      </c>
      <c r="K31" s="38" t="s">
        <v>232</v>
      </c>
      <c r="L31" s="38" t="s">
        <v>155</v>
      </c>
      <c r="M31" s="38" t="s">
        <v>260</v>
      </c>
      <c r="N31" s="40" t="s">
        <v>152</v>
      </c>
      <c r="O31" s="38"/>
      <c r="P31" s="38"/>
      <c r="Q31" s="41">
        <f ca="1">IF(emp_db[[#This Row],[Exit Date]]&lt;&gt;"",(emp_db[[#This Row],[Exit Date]]-emp_db[[#This Row],[Column1]])/365,IF(emp_db[[#This Row],[ID]]&lt;&gt;"",(TODAY()-emp_db[[#This Row],[Column1]])/365,""))</f>
        <v>4.0465753424657533</v>
      </c>
      <c r="R31" s="42">
        <f ca="1">IF(emp_db[[#This Row],[Date of Birth]]&lt;&gt;"",(TODAY()-emp_db[[#This Row],[Date of Birth]])/365,"")</f>
        <v>34.490410958904107</v>
      </c>
      <c r="S31" s="42">
        <f>YEAR(emp_db[[#This Row],[Column1]])</f>
        <v>2016</v>
      </c>
      <c r="T31" s="42">
        <f>MONTH(emp_db[[#This Row],[Column1]])</f>
        <v>10</v>
      </c>
      <c r="U31" s="42" t="str">
        <f>IFERROR(YEAR(emp_db[[#This Row],[Exit Date]]),"")</f>
        <v/>
      </c>
      <c r="V31" s="42" t="str">
        <f>IFERROR(MONTH(emp_db[[#This Row],[Exit Date]]),"")</f>
        <v/>
      </c>
    </row>
    <row r="32" spans="2:22">
      <c r="B32" s="38">
        <v>29</v>
      </c>
      <c r="C32" s="39" t="s">
        <v>52</v>
      </c>
      <c r="D32" s="38" t="s">
        <v>114</v>
      </c>
      <c r="E32" s="38" t="s">
        <v>148</v>
      </c>
      <c r="F32" s="40">
        <v>35001</v>
      </c>
      <c r="G32" s="38" t="s">
        <v>150</v>
      </c>
      <c r="H32" s="40">
        <v>41055</v>
      </c>
      <c r="I32" s="40" t="s">
        <v>215</v>
      </c>
      <c r="J32" s="38" t="s">
        <v>160</v>
      </c>
      <c r="K32" s="38" t="s">
        <v>235</v>
      </c>
      <c r="L32" s="38" t="s">
        <v>154</v>
      </c>
      <c r="M32" s="38" t="s">
        <v>258</v>
      </c>
      <c r="N32" s="40">
        <v>42876</v>
      </c>
      <c r="O32" s="38"/>
      <c r="P32" s="38" t="s">
        <v>162</v>
      </c>
      <c r="Q32" s="41">
        <f ca="1">IF(emp_db[[#This Row],[Exit Date]]&lt;&gt;"",(emp_db[[#This Row],[Exit Date]]-emp_db[[#This Row],[Column1]])/365,IF(emp_db[[#This Row],[ID]]&lt;&gt;"",(TODAY()-emp_db[[#This Row],[Column1]])/365,""))</f>
        <v>4.9890410958904106</v>
      </c>
      <c r="R32" s="42">
        <f ca="1">IF(emp_db[[#This Row],[Date of Birth]]&lt;&gt;"",(TODAY()-emp_db[[#This Row],[Date of Birth]])/365,"")</f>
        <v>25.054794520547944</v>
      </c>
      <c r="S32" s="42">
        <f>YEAR(emp_db[[#This Row],[Column1]])</f>
        <v>2012</v>
      </c>
      <c r="T32" s="42">
        <f>MONTH(emp_db[[#This Row],[Column1]])</f>
        <v>5</v>
      </c>
      <c r="U32" s="42">
        <f>IFERROR(YEAR(emp_db[[#This Row],[Exit Date]]),"")</f>
        <v>2017</v>
      </c>
      <c r="V32" s="42">
        <f>IFERROR(MONTH(emp_db[[#This Row],[Exit Date]]),"")</f>
        <v>5</v>
      </c>
    </row>
    <row r="33" spans="2:22">
      <c r="B33" s="38">
        <v>30</v>
      </c>
      <c r="C33" s="39" t="s">
        <v>53</v>
      </c>
      <c r="D33" s="38" t="s">
        <v>115</v>
      </c>
      <c r="E33" s="38" t="s">
        <v>148</v>
      </c>
      <c r="F33" s="40">
        <v>33919</v>
      </c>
      <c r="G33" s="38" t="s">
        <v>150</v>
      </c>
      <c r="H33" s="40">
        <v>41842</v>
      </c>
      <c r="I33" s="40" t="s">
        <v>218</v>
      </c>
      <c r="J33" s="38" t="s">
        <v>156</v>
      </c>
      <c r="K33" s="38" t="s">
        <v>164</v>
      </c>
      <c r="L33" s="38" t="s">
        <v>155</v>
      </c>
      <c r="M33" s="38" t="s">
        <v>248</v>
      </c>
      <c r="N33" s="40">
        <v>42433</v>
      </c>
      <c r="O33" s="38"/>
      <c r="P33" s="38" t="s">
        <v>162</v>
      </c>
      <c r="Q33" s="41">
        <f ca="1">IF(emp_db[[#This Row],[Exit Date]]&lt;&gt;"",(emp_db[[#This Row],[Exit Date]]-emp_db[[#This Row],[Column1]])/365,IF(emp_db[[#This Row],[ID]]&lt;&gt;"",(TODAY()-emp_db[[#This Row],[Column1]])/365,""))</f>
        <v>1.6191780821917807</v>
      </c>
      <c r="R33" s="42">
        <f ca="1">IF(emp_db[[#This Row],[Date of Birth]]&lt;&gt;"",(TODAY()-emp_db[[#This Row],[Date of Birth]])/365,"")</f>
        <v>28.019178082191782</v>
      </c>
      <c r="S33" s="42">
        <f>YEAR(emp_db[[#This Row],[Column1]])</f>
        <v>2014</v>
      </c>
      <c r="T33" s="42">
        <f>MONTH(emp_db[[#This Row],[Column1]])</f>
        <v>7</v>
      </c>
      <c r="U33" s="42">
        <f>IFERROR(YEAR(emp_db[[#This Row],[Exit Date]]),"")</f>
        <v>2016</v>
      </c>
      <c r="V33" s="42">
        <f>IFERROR(MONTH(emp_db[[#This Row],[Exit Date]]),"")</f>
        <v>3</v>
      </c>
    </row>
    <row r="34" spans="2:22">
      <c r="B34" s="38">
        <v>31</v>
      </c>
      <c r="C34" s="39" t="s">
        <v>54</v>
      </c>
      <c r="D34" s="38" t="s">
        <v>116</v>
      </c>
      <c r="E34" s="38" t="s">
        <v>148</v>
      </c>
      <c r="F34" s="40">
        <v>34110</v>
      </c>
      <c r="G34" s="38" t="s">
        <v>151</v>
      </c>
      <c r="H34" s="40">
        <v>42993</v>
      </c>
      <c r="I34" s="40" t="s">
        <v>214</v>
      </c>
      <c r="J34" s="38" t="s">
        <v>160</v>
      </c>
      <c r="K34" s="38" t="s">
        <v>227</v>
      </c>
      <c r="L34" s="38" t="s">
        <v>153</v>
      </c>
      <c r="M34" s="38" t="s">
        <v>249</v>
      </c>
      <c r="N34" s="40" t="s">
        <v>152</v>
      </c>
      <c r="O34" s="38"/>
      <c r="P34" s="38"/>
      <c r="Q34" s="41">
        <f ca="1">IF(emp_db[[#This Row],[Exit Date]]&lt;&gt;"",(emp_db[[#This Row],[Exit Date]]-emp_db[[#This Row],[Column1]])/365,IF(emp_db[[#This Row],[ID]]&lt;&gt;"",(TODAY()-emp_db[[#This Row],[Column1]])/365,""))</f>
        <v>3.1589041095890411</v>
      </c>
      <c r="R34" s="42">
        <f ca="1">IF(emp_db[[#This Row],[Date of Birth]]&lt;&gt;"",(TODAY()-emp_db[[#This Row],[Date of Birth]])/365,"")</f>
        <v>27.495890410958904</v>
      </c>
      <c r="S34" s="42">
        <f>YEAR(emp_db[[#This Row],[Column1]])</f>
        <v>2017</v>
      </c>
      <c r="T34" s="42">
        <f>MONTH(emp_db[[#This Row],[Column1]])</f>
        <v>9</v>
      </c>
      <c r="U34" s="42" t="str">
        <f>IFERROR(YEAR(emp_db[[#This Row],[Exit Date]]),"")</f>
        <v/>
      </c>
      <c r="V34" s="42" t="str">
        <f>IFERROR(MONTH(emp_db[[#This Row],[Exit Date]]),"")</f>
        <v/>
      </c>
    </row>
    <row r="35" spans="2:22">
      <c r="B35" s="38">
        <v>32</v>
      </c>
      <c r="C35" s="39" t="s">
        <v>55</v>
      </c>
      <c r="D35" s="38" t="s">
        <v>117</v>
      </c>
      <c r="E35" s="38" t="s">
        <v>148</v>
      </c>
      <c r="F35" s="40">
        <v>33794</v>
      </c>
      <c r="G35" s="38" t="s">
        <v>150</v>
      </c>
      <c r="H35" s="40">
        <v>41842</v>
      </c>
      <c r="I35" s="40" t="s">
        <v>216</v>
      </c>
      <c r="J35" s="38" t="s">
        <v>157</v>
      </c>
      <c r="K35" s="38" t="s">
        <v>226</v>
      </c>
      <c r="L35" s="38" t="s">
        <v>154</v>
      </c>
      <c r="M35" s="38" t="s">
        <v>251</v>
      </c>
      <c r="N35" s="40">
        <v>43116</v>
      </c>
      <c r="O35" s="38"/>
      <c r="P35" s="38" t="s">
        <v>162</v>
      </c>
      <c r="Q35" s="41">
        <f ca="1">IF(emp_db[[#This Row],[Exit Date]]&lt;&gt;"",(emp_db[[#This Row],[Exit Date]]-emp_db[[#This Row],[Column1]])/365,IF(emp_db[[#This Row],[ID]]&lt;&gt;"",(TODAY()-emp_db[[#This Row],[Column1]])/365,""))</f>
        <v>3.4904109589041097</v>
      </c>
      <c r="R35" s="42">
        <f ca="1">IF(emp_db[[#This Row],[Date of Birth]]&lt;&gt;"",(TODAY()-emp_db[[#This Row],[Date of Birth]])/365,"")</f>
        <v>28.361643835616437</v>
      </c>
      <c r="S35" s="42">
        <f>YEAR(emp_db[[#This Row],[Column1]])</f>
        <v>2014</v>
      </c>
      <c r="T35" s="42">
        <f>MONTH(emp_db[[#This Row],[Column1]])</f>
        <v>7</v>
      </c>
      <c r="U35" s="42">
        <f>IFERROR(YEAR(emp_db[[#This Row],[Exit Date]]),"")</f>
        <v>2018</v>
      </c>
      <c r="V35" s="42">
        <f>IFERROR(MONTH(emp_db[[#This Row],[Exit Date]]),"")</f>
        <v>1</v>
      </c>
    </row>
    <row r="36" spans="2:22">
      <c r="B36" s="38">
        <v>33</v>
      </c>
      <c r="C36" s="39" t="s">
        <v>56</v>
      </c>
      <c r="D36" s="38" t="s">
        <v>118</v>
      </c>
      <c r="E36" s="38" t="s">
        <v>148</v>
      </c>
      <c r="F36" s="40">
        <v>30428</v>
      </c>
      <c r="G36" s="38" t="s">
        <v>150</v>
      </c>
      <c r="H36" s="40">
        <v>41378</v>
      </c>
      <c r="I36" s="40" t="s">
        <v>218</v>
      </c>
      <c r="J36" s="38" t="s">
        <v>160</v>
      </c>
      <c r="K36" s="38" t="s">
        <v>227</v>
      </c>
      <c r="L36" s="38" t="s">
        <v>153</v>
      </c>
      <c r="M36" s="38" t="s">
        <v>247</v>
      </c>
      <c r="N36" s="40">
        <v>43046</v>
      </c>
      <c r="O36" s="38"/>
      <c r="P36" s="38" t="s">
        <v>162</v>
      </c>
      <c r="Q36" s="41">
        <f ca="1">IF(emp_db[[#This Row],[Exit Date]]&lt;&gt;"",(emp_db[[#This Row],[Exit Date]]-emp_db[[#This Row],[Column1]])/365,IF(emp_db[[#This Row],[ID]]&lt;&gt;"",(TODAY()-emp_db[[#This Row],[Column1]])/365,""))</f>
        <v>4.5698630136986305</v>
      </c>
      <c r="R36" s="42">
        <f ca="1">IF(emp_db[[#This Row],[Date of Birth]]&lt;&gt;"",(TODAY()-emp_db[[#This Row],[Date of Birth]])/365,"")</f>
        <v>37.583561643835615</v>
      </c>
      <c r="S36" s="42">
        <f>YEAR(emp_db[[#This Row],[Column1]])</f>
        <v>2013</v>
      </c>
      <c r="T36" s="42">
        <f>MONTH(emp_db[[#This Row],[Column1]])</f>
        <v>4</v>
      </c>
      <c r="U36" s="42">
        <f>IFERROR(YEAR(emp_db[[#This Row],[Exit Date]]),"")</f>
        <v>2017</v>
      </c>
      <c r="V36" s="42">
        <f>IFERROR(MONTH(emp_db[[#This Row],[Exit Date]]),"")</f>
        <v>11</v>
      </c>
    </row>
    <row r="37" spans="2:22">
      <c r="B37" s="38">
        <v>34</v>
      </c>
      <c r="C37" s="39" t="s">
        <v>57</v>
      </c>
      <c r="D37" s="38" t="s">
        <v>119</v>
      </c>
      <c r="E37" s="38" t="s">
        <v>148</v>
      </c>
      <c r="F37" s="40">
        <v>36068</v>
      </c>
      <c r="G37" s="38" t="s">
        <v>151</v>
      </c>
      <c r="H37" s="40">
        <v>41416</v>
      </c>
      <c r="I37" s="40" t="s">
        <v>212</v>
      </c>
      <c r="J37" s="38" t="s">
        <v>160</v>
      </c>
      <c r="K37" s="38" t="s">
        <v>233</v>
      </c>
      <c r="L37" s="38" t="s">
        <v>154</v>
      </c>
      <c r="M37" s="38" t="s">
        <v>233</v>
      </c>
      <c r="N37" s="40">
        <v>42891</v>
      </c>
      <c r="O37" s="38"/>
      <c r="P37" s="38" t="s">
        <v>163</v>
      </c>
      <c r="Q37" s="41">
        <f ca="1">IF(emp_db[[#This Row],[Exit Date]]&lt;&gt;"",(emp_db[[#This Row],[Exit Date]]-emp_db[[#This Row],[Column1]])/365,IF(emp_db[[#This Row],[ID]]&lt;&gt;"",(TODAY()-emp_db[[#This Row],[Column1]])/365,""))</f>
        <v>4.0410958904109586</v>
      </c>
      <c r="R37" s="42">
        <f ca="1">IF(emp_db[[#This Row],[Date of Birth]]&lt;&gt;"",(TODAY()-emp_db[[#This Row],[Date of Birth]])/365,"")</f>
        <v>22.13150684931507</v>
      </c>
      <c r="S37" s="42">
        <f>YEAR(emp_db[[#This Row],[Column1]])</f>
        <v>2013</v>
      </c>
      <c r="T37" s="42">
        <f>MONTH(emp_db[[#This Row],[Column1]])</f>
        <v>5</v>
      </c>
      <c r="U37" s="42">
        <f>IFERROR(YEAR(emp_db[[#This Row],[Exit Date]]),"")</f>
        <v>2017</v>
      </c>
      <c r="V37" s="42">
        <f>IFERROR(MONTH(emp_db[[#This Row],[Exit Date]]),"")</f>
        <v>6</v>
      </c>
    </row>
    <row r="38" spans="2:22">
      <c r="B38" s="38">
        <v>35</v>
      </c>
      <c r="C38" s="39" t="s">
        <v>58</v>
      </c>
      <c r="D38" s="38" t="s">
        <v>120</v>
      </c>
      <c r="E38" s="38" t="s">
        <v>148</v>
      </c>
      <c r="F38" s="40">
        <v>28187</v>
      </c>
      <c r="G38" s="38" t="s">
        <v>151</v>
      </c>
      <c r="H38" s="40">
        <v>42012</v>
      </c>
      <c r="I38" s="40" t="s">
        <v>217</v>
      </c>
      <c r="J38" s="38" t="s">
        <v>159</v>
      </c>
      <c r="K38" s="38" t="s">
        <v>236</v>
      </c>
      <c r="L38" s="38" t="s">
        <v>154</v>
      </c>
      <c r="M38" s="38" t="s">
        <v>171</v>
      </c>
      <c r="N38" s="40" t="s">
        <v>152</v>
      </c>
      <c r="O38" s="38"/>
      <c r="P38" s="38"/>
      <c r="Q38" s="41">
        <f ca="1">IF(emp_db[[#This Row],[Exit Date]]&lt;&gt;"",(emp_db[[#This Row],[Exit Date]]-emp_db[[#This Row],[Column1]])/365,IF(emp_db[[#This Row],[ID]]&lt;&gt;"",(TODAY()-emp_db[[#This Row],[Column1]])/365,""))</f>
        <v>5.8465753424657532</v>
      </c>
      <c r="R38" s="42">
        <f ca="1">IF(emp_db[[#This Row],[Date of Birth]]&lt;&gt;"",(TODAY()-emp_db[[#This Row],[Date of Birth]])/365,"")</f>
        <v>43.723287671232875</v>
      </c>
      <c r="S38" s="42">
        <f>YEAR(emp_db[[#This Row],[Column1]])</f>
        <v>2015</v>
      </c>
      <c r="T38" s="42">
        <f>MONTH(emp_db[[#This Row],[Column1]])</f>
        <v>1</v>
      </c>
      <c r="U38" s="42" t="str">
        <f>IFERROR(YEAR(emp_db[[#This Row],[Exit Date]]),"")</f>
        <v/>
      </c>
      <c r="V38" s="42" t="str">
        <f>IFERROR(MONTH(emp_db[[#This Row],[Exit Date]]),"")</f>
        <v/>
      </c>
    </row>
    <row r="39" spans="2:22">
      <c r="B39" s="38">
        <v>36</v>
      </c>
      <c r="C39" s="39" t="s">
        <v>59</v>
      </c>
      <c r="D39" s="38" t="s">
        <v>121</v>
      </c>
      <c r="E39" s="38" t="s">
        <v>148</v>
      </c>
      <c r="F39" s="40">
        <v>28808</v>
      </c>
      <c r="G39" s="38" t="s">
        <v>151</v>
      </c>
      <c r="H39" s="40">
        <v>42756</v>
      </c>
      <c r="I39" s="40" t="s">
        <v>216</v>
      </c>
      <c r="J39" s="38" t="s">
        <v>157</v>
      </c>
      <c r="K39" s="38" t="s">
        <v>233</v>
      </c>
      <c r="L39" s="38" t="s">
        <v>155</v>
      </c>
      <c r="M39" s="38"/>
      <c r="N39" s="40">
        <v>43022</v>
      </c>
      <c r="O39" s="38"/>
      <c r="P39" s="38" t="s">
        <v>162</v>
      </c>
      <c r="Q39" s="41">
        <f ca="1">IF(emp_db[[#This Row],[Exit Date]]&lt;&gt;"",(emp_db[[#This Row],[Exit Date]]-emp_db[[#This Row],[Column1]])/365,IF(emp_db[[#This Row],[ID]]&lt;&gt;"",(TODAY()-emp_db[[#This Row],[Column1]])/365,""))</f>
        <v>0.72876712328767124</v>
      </c>
      <c r="R39" s="42">
        <f ca="1">IF(emp_db[[#This Row],[Date of Birth]]&lt;&gt;"",(TODAY()-emp_db[[#This Row],[Date of Birth]])/365,"")</f>
        <v>42.021917808219179</v>
      </c>
      <c r="S39" s="42">
        <f>YEAR(emp_db[[#This Row],[Column1]])</f>
        <v>2017</v>
      </c>
      <c r="T39" s="42">
        <f>MONTH(emp_db[[#This Row],[Column1]])</f>
        <v>1</v>
      </c>
      <c r="U39" s="42">
        <f>IFERROR(YEAR(emp_db[[#This Row],[Exit Date]]),"")</f>
        <v>2017</v>
      </c>
      <c r="V39" s="42">
        <f>IFERROR(MONTH(emp_db[[#This Row],[Exit Date]]),"")</f>
        <v>10</v>
      </c>
    </row>
    <row r="40" spans="2:22">
      <c r="B40" s="38">
        <v>37</v>
      </c>
      <c r="C40" s="39" t="s">
        <v>60</v>
      </c>
      <c r="D40" s="38" t="s">
        <v>122</v>
      </c>
      <c r="E40" s="38" t="s">
        <v>148</v>
      </c>
      <c r="F40" s="40">
        <v>33668</v>
      </c>
      <c r="G40" s="38" t="s">
        <v>151</v>
      </c>
      <c r="H40" s="40">
        <v>43424</v>
      </c>
      <c r="I40" s="40" t="s">
        <v>218</v>
      </c>
      <c r="J40" s="38" t="s">
        <v>157</v>
      </c>
      <c r="K40" s="38" t="s">
        <v>232</v>
      </c>
      <c r="L40" s="38" t="s">
        <v>153</v>
      </c>
      <c r="M40" s="38"/>
      <c r="N40" s="40" t="s">
        <v>152</v>
      </c>
      <c r="O40" s="38"/>
      <c r="P40" s="38"/>
      <c r="Q40" s="41">
        <f ca="1">IF(emp_db[[#This Row],[Exit Date]]&lt;&gt;"",(emp_db[[#This Row],[Exit Date]]-emp_db[[#This Row],[Column1]])/365,IF(emp_db[[#This Row],[ID]]&lt;&gt;"",(TODAY()-emp_db[[#This Row],[Column1]])/365,""))</f>
        <v>1.978082191780822</v>
      </c>
      <c r="R40" s="42">
        <f ca="1">IF(emp_db[[#This Row],[Date of Birth]]&lt;&gt;"",(TODAY()-emp_db[[#This Row],[Date of Birth]])/365,"")</f>
        <v>28.706849315068492</v>
      </c>
      <c r="S40" s="42">
        <f>YEAR(emp_db[[#This Row],[Column1]])</f>
        <v>2018</v>
      </c>
      <c r="T40" s="42">
        <f>MONTH(emp_db[[#This Row],[Column1]])</f>
        <v>11</v>
      </c>
      <c r="U40" s="42" t="str">
        <f>IFERROR(YEAR(emp_db[[#This Row],[Exit Date]]),"")</f>
        <v/>
      </c>
      <c r="V40" s="42" t="str">
        <f>IFERROR(MONTH(emp_db[[#This Row],[Exit Date]]),"")</f>
        <v/>
      </c>
    </row>
    <row r="41" spans="2:22">
      <c r="B41" s="38">
        <v>38</v>
      </c>
      <c r="C41" s="39" t="s">
        <v>61</v>
      </c>
      <c r="D41" s="38" t="s">
        <v>123</v>
      </c>
      <c r="E41" s="38" t="s">
        <v>148</v>
      </c>
      <c r="F41" s="40">
        <v>32471</v>
      </c>
      <c r="G41" s="38" t="s">
        <v>150</v>
      </c>
      <c r="H41" s="40">
        <v>40729</v>
      </c>
      <c r="I41" s="40" t="s">
        <v>214</v>
      </c>
      <c r="J41" s="38" t="s">
        <v>159</v>
      </c>
      <c r="K41" s="38" t="s">
        <v>164</v>
      </c>
      <c r="L41" s="38" t="s">
        <v>154</v>
      </c>
      <c r="M41" s="38"/>
      <c r="N41" s="40">
        <v>42547</v>
      </c>
      <c r="O41" s="38"/>
      <c r="P41" s="38" t="s">
        <v>162</v>
      </c>
      <c r="Q41" s="41">
        <f ca="1">IF(emp_db[[#This Row],[Exit Date]]&lt;&gt;"",(emp_db[[#This Row],[Exit Date]]-emp_db[[#This Row],[Column1]])/365,IF(emp_db[[#This Row],[ID]]&lt;&gt;"",(TODAY()-emp_db[[#This Row],[Column1]])/365,""))</f>
        <v>4.9808219178082194</v>
      </c>
      <c r="R41" s="42">
        <f ca="1">IF(emp_db[[#This Row],[Date of Birth]]&lt;&gt;"",(TODAY()-emp_db[[#This Row],[Date of Birth]])/365,"")</f>
        <v>31.986301369863014</v>
      </c>
      <c r="S41" s="42">
        <f>YEAR(emp_db[[#This Row],[Column1]])</f>
        <v>2011</v>
      </c>
      <c r="T41" s="42">
        <f>MONTH(emp_db[[#This Row],[Column1]])</f>
        <v>7</v>
      </c>
      <c r="U41" s="42">
        <f>IFERROR(YEAR(emp_db[[#This Row],[Exit Date]]),"")</f>
        <v>2016</v>
      </c>
      <c r="V41" s="42">
        <f>IFERROR(MONTH(emp_db[[#This Row],[Exit Date]]),"")</f>
        <v>6</v>
      </c>
    </row>
    <row r="42" spans="2:22">
      <c r="B42" s="38">
        <v>39</v>
      </c>
      <c r="C42" s="39" t="s">
        <v>62</v>
      </c>
      <c r="D42" s="38" t="s">
        <v>124</v>
      </c>
      <c r="E42" s="38" t="s">
        <v>148</v>
      </c>
      <c r="F42" s="40">
        <v>32260</v>
      </c>
      <c r="G42" s="38" t="s">
        <v>151</v>
      </c>
      <c r="H42" s="40">
        <v>43078</v>
      </c>
      <c r="I42" s="40" t="s">
        <v>215</v>
      </c>
      <c r="J42" s="38" t="s">
        <v>156</v>
      </c>
      <c r="K42" s="38" t="s">
        <v>233</v>
      </c>
      <c r="L42" s="38" t="s">
        <v>155</v>
      </c>
      <c r="M42" s="38"/>
      <c r="N42" s="40">
        <v>43140</v>
      </c>
      <c r="O42" s="38"/>
      <c r="P42" s="38" t="s">
        <v>163</v>
      </c>
      <c r="Q42" s="41">
        <f ca="1">IF(emp_db[[#This Row],[Exit Date]]&lt;&gt;"",(emp_db[[#This Row],[Exit Date]]-emp_db[[#This Row],[Column1]])/365,IF(emp_db[[#This Row],[ID]]&lt;&gt;"",(TODAY()-emp_db[[#This Row],[Column1]])/365,""))</f>
        <v>0.16986301369863013</v>
      </c>
      <c r="R42" s="42">
        <f ca="1">IF(emp_db[[#This Row],[Date of Birth]]&lt;&gt;"",(TODAY()-emp_db[[#This Row],[Date of Birth]])/365,"")</f>
        <v>32.564383561643837</v>
      </c>
      <c r="S42" s="42">
        <f>YEAR(emp_db[[#This Row],[Column1]])</f>
        <v>2017</v>
      </c>
      <c r="T42" s="42">
        <f>MONTH(emp_db[[#This Row],[Column1]])</f>
        <v>12</v>
      </c>
      <c r="U42" s="42">
        <f>IFERROR(YEAR(emp_db[[#This Row],[Exit Date]]),"")</f>
        <v>2018</v>
      </c>
      <c r="V42" s="42">
        <f>IFERROR(MONTH(emp_db[[#This Row],[Exit Date]]),"")</f>
        <v>2</v>
      </c>
    </row>
    <row r="43" spans="2:22">
      <c r="B43" s="38">
        <v>40</v>
      </c>
      <c r="C43" s="39" t="s">
        <v>63</v>
      </c>
      <c r="D43" s="38" t="s">
        <v>125</v>
      </c>
      <c r="E43" s="38" t="s">
        <v>148</v>
      </c>
      <c r="F43" s="40">
        <v>34679</v>
      </c>
      <c r="G43" s="38" t="s">
        <v>151</v>
      </c>
      <c r="H43" s="40">
        <v>43025</v>
      </c>
      <c r="I43" s="40" t="s">
        <v>215</v>
      </c>
      <c r="J43" s="38" t="s">
        <v>159</v>
      </c>
      <c r="K43" s="38" t="s">
        <v>232</v>
      </c>
      <c r="L43" s="38" t="s">
        <v>155</v>
      </c>
      <c r="M43" s="38"/>
      <c r="N43" s="40">
        <v>43416</v>
      </c>
      <c r="O43" s="38"/>
      <c r="P43" s="38" t="s">
        <v>162</v>
      </c>
      <c r="Q43" s="41">
        <f ca="1">IF(emp_db[[#This Row],[Exit Date]]&lt;&gt;"",(emp_db[[#This Row],[Exit Date]]-emp_db[[#This Row],[Column1]])/365,IF(emp_db[[#This Row],[ID]]&lt;&gt;"",(TODAY()-emp_db[[#This Row],[Column1]])/365,""))</f>
        <v>1.0712328767123287</v>
      </c>
      <c r="R43" s="42">
        <f ca="1">IF(emp_db[[#This Row],[Date of Birth]]&lt;&gt;"",(TODAY()-emp_db[[#This Row],[Date of Birth]])/365,"")</f>
        <v>25.936986301369863</v>
      </c>
      <c r="S43" s="42">
        <f>YEAR(emp_db[[#This Row],[Column1]])</f>
        <v>2017</v>
      </c>
      <c r="T43" s="42">
        <f>MONTH(emp_db[[#This Row],[Column1]])</f>
        <v>10</v>
      </c>
      <c r="U43" s="42">
        <f>IFERROR(YEAR(emp_db[[#This Row],[Exit Date]]),"")</f>
        <v>2018</v>
      </c>
      <c r="V43" s="42">
        <f>IFERROR(MONTH(emp_db[[#This Row],[Exit Date]]),"")</f>
        <v>11</v>
      </c>
    </row>
    <row r="44" spans="2:22">
      <c r="B44" s="38">
        <v>41</v>
      </c>
      <c r="C44" s="39" t="s">
        <v>64</v>
      </c>
      <c r="D44" s="38" t="s">
        <v>126</v>
      </c>
      <c r="E44" s="38" t="s">
        <v>148</v>
      </c>
      <c r="F44" s="40">
        <v>28245</v>
      </c>
      <c r="G44" s="38" t="s">
        <v>151</v>
      </c>
      <c r="H44" s="40">
        <v>41801</v>
      </c>
      <c r="I44" s="40" t="s">
        <v>214</v>
      </c>
      <c r="J44" s="38" t="s">
        <v>156</v>
      </c>
      <c r="K44" s="38" t="s">
        <v>231</v>
      </c>
      <c r="L44" s="38" t="s">
        <v>153</v>
      </c>
      <c r="M44" s="38"/>
      <c r="N44" s="40">
        <v>43228</v>
      </c>
      <c r="O44" s="38"/>
      <c r="P44" s="38" t="s">
        <v>162</v>
      </c>
      <c r="Q44" s="41">
        <f ca="1">IF(emp_db[[#This Row],[Exit Date]]&lt;&gt;"",(emp_db[[#This Row],[Exit Date]]-emp_db[[#This Row],[Column1]])/365,IF(emp_db[[#This Row],[ID]]&lt;&gt;"",(TODAY()-emp_db[[#This Row],[Column1]])/365,""))</f>
        <v>3.9095890410958902</v>
      </c>
      <c r="R44" s="42">
        <f ca="1">IF(emp_db[[#This Row],[Date of Birth]]&lt;&gt;"",(TODAY()-emp_db[[#This Row],[Date of Birth]])/365,"")</f>
        <v>43.564383561643837</v>
      </c>
      <c r="S44" s="42">
        <f>YEAR(emp_db[[#This Row],[Column1]])</f>
        <v>2014</v>
      </c>
      <c r="T44" s="42">
        <f>MONTH(emp_db[[#This Row],[Column1]])</f>
        <v>6</v>
      </c>
      <c r="U44" s="42">
        <f>IFERROR(YEAR(emp_db[[#This Row],[Exit Date]]),"")</f>
        <v>2018</v>
      </c>
      <c r="V44" s="42">
        <f>IFERROR(MONTH(emp_db[[#This Row],[Exit Date]]),"")</f>
        <v>5</v>
      </c>
    </row>
    <row r="45" spans="2:22">
      <c r="B45" s="38">
        <v>42</v>
      </c>
      <c r="C45" s="39" t="s">
        <v>65</v>
      </c>
      <c r="D45" s="38" t="s">
        <v>127</v>
      </c>
      <c r="E45" s="38" t="s">
        <v>148</v>
      </c>
      <c r="F45" s="40">
        <v>33288</v>
      </c>
      <c r="G45" s="38" t="s">
        <v>150</v>
      </c>
      <c r="H45" s="40">
        <v>42804</v>
      </c>
      <c r="I45" s="40" t="s">
        <v>217</v>
      </c>
      <c r="J45" s="38" t="s">
        <v>158</v>
      </c>
      <c r="K45" s="38" t="s">
        <v>230</v>
      </c>
      <c r="L45" s="38" t="s">
        <v>154</v>
      </c>
      <c r="M45" s="38"/>
      <c r="N45" s="40" t="s">
        <v>152</v>
      </c>
      <c r="O45" s="38"/>
      <c r="P45" s="38"/>
      <c r="Q45" s="41">
        <f ca="1">IF(emp_db[[#This Row],[Exit Date]]&lt;&gt;"",(emp_db[[#This Row],[Exit Date]]-emp_db[[#This Row],[Column1]])/365,IF(emp_db[[#This Row],[ID]]&lt;&gt;"",(TODAY()-emp_db[[#This Row],[Column1]])/365,""))</f>
        <v>3.6767123287671235</v>
      </c>
      <c r="R45" s="42">
        <f ca="1">IF(emp_db[[#This Row],[Date of Birth]]&lt;&gt;"",(TODAY()-emp_db[[#This Row],[Date of Birth]])/365,"")</f>
        <v>29.747945205479454</v>
      </c>
      <c r="S45" s="42">
        <f>YEAR(emp_db[[#This Row],[Column1]])</f>
        <v>2017</v>
      </c>
      <c r="T45" s="42">
        <f>MONTH(emp_db[[#This Row],[Column1]])</f>
        <v>3</v>
      </c>
      <c r="U45" s="42" t="str">
        <f>IFERROR(YEAR(emp_db[[#This Row],[Exit Date]]),"")</f>
        <v/>
      </c>
      <c r="V45" s="42" t="str">
        <f>IFERROR(MONTH(emp_db[[#This Row],[Exit Date]]),"")</f>
        <v/>
      </c>
    </row>
    <row r="46" spans="2:22">
      <c r="B46" s="38">
        <v>43</v>
      </c>
      <c r="C46" s="39" t="s">
        <v>66</v>
      </c>
      <c r="D46" s="38" t="s">
        <v>128</v>
      </c>
      <c r="E46" s="38" t="s">
        <v>148</v>
      </c>
      <c r="F46" s="40">
        <v>34820</v>
      </c>
      <c r="G46" s="38" t="s">
        <v>150</v>
      </c>
      <c r="H46" s="40">
        <v>41057</v>
      </c>
      <c r="I46" s="40" t="s">
        <v>214</v>
      </c>
      <c r="J46" s="38" t="s">
        <v>158</v>
      </c>
      <c r="K46" s="38" t="s">
        <v>228</v>
      </c>
      <c r="L46" s="38" t="s">
        <v>154</v>
      </c>
      <c r="M46" s="38"/>
      <c r="N46" s="40">
        <v>42601</v>
      </c>
      <c r="O46" s="38"/>
      <c r="P46" s="38" t="s">
        <v>162</v>
      </c>
      <c r="Q46" s="41">
        <f ca="1">IF(emp_db[[#This Row],[Exit Date]]&lt;&gt;"",(emp_db[[#This Row],[Exit Date]]-emp_db[[#This Row],[Column1]])/365,IF(emp_db[[#This Row],[ID]]&lt;&gt;"",(TODAY()-emp_db[[#This Row],[Column1]])/365,""))</f>
        <v>4.2301369863013702</v>
      </c>
      <c r="R46" s="42">
        <f ca="1">IF(emp_db[[#This Row],[Date of Birth]]&lt;&gt;"",(TODAY()-emp_db[[#This Row],[Date of Birth]])/365,"")</f>
        <v>25.550684931506851</v>
      </c>
      <c r="S46" s="42">
        <f>YEAR(emp_db[[#This Row],[Column1]])</f>
        <v>2012</v>
      </c>
      <c r="T46" s="42">
        <f>MONTH(emp_db[[#This Row],[Column1]])</f>
        <v>5</v>
      </c>
      <c r="U46" s="42">
        <f>IFERROR(YEAR(emp_db[[#This Row],[Exit Date]]),"")</f>
        <v>2016</v>
      </c>
      <c r="V46" s="42">
        <f>IFERROR(MONTH(emp_db[[#This Row],[Exit Date]]),"")</f>
        <v>8</v>
      </c>
    </row>
    <row r="47" spans="2:22">
      <c r="B47" s="38">
        <v>44</v>
      </c>
      <c r="C47" s="39" t="s">
        <v>67</v>
      </c>
      <c r="D47" s="38" t="s">
        <v>129</v>
      </c>
      <c r="E47" s="38" t="s">
        <v>148</v>
      </c>
      <c r="F47" s="40">
        <v>30162</v>
      </c>
      <c r="G47" s="38" t="s">
        <v>150</v>
      </c>
      <c r="H47" s="40">
        <v>42179</v>
      </c>
      <c r="I47" s="40" t="s">
        <v>217</v>
      </c>
      <c r="J47" s="38" t="s">
        <v>161</v>
      </c>
      <c r="K47" s="38" t="s">
        <v>228</v>
      </c>
      <c r="L47" s="38" t="s">
        <v>154</v>
      </c>
      <c r="M47" s="38"/>
      <c r="N47" s="40" t="s">
        <v>152</v>
      </c>
      <c r="O47" s="38"/>
      <c r="P47" s="38"/>
      <c r="Q47" s="41">
        <f ca="1">IF(emp_db[[#This Row],[Exit Date]]&lt;&gt;"",(emp_db[[#This Row],[Exit Date]]-emp_db[[#This Row],[Column1]])/365,IF(emp_db[[#This Row],[ID]]&lt;&gt;"",(TODAY()-emp_db[[#This Row],[Column1]])/365,""))</f>
        <v>5.3890410958904109</v>
      </c>
      <c r="R47" s="42">
        <f ca="1">IF(emp_db[[#This Row],[Date of Birth]]&lt;&gt;"",(TODAY()-emp_db[[#This Row],[Date of Birth]])/365,"")</f>
        <v>38.31232876712329</v>
      </c>
      <c r="S47" s="42">
        <f>YEAR(emp_db[[#This Row],[Column1]])</f>
        <v>2015</v>
      </c>
      <c r="T47" s="42">
        <f>MONTH(emp_db[[#This Row],[Column1]])</f>
        <v>6</v>
      </c>
      <c r="U47" s="42" t="str">
        <f>IFERROR(YEAR(emp_db[[#This Row],[Exit Date]]),"")</f>
        <v/>
      </c>
      <c r="V47" s="42" t="str">
        <f>IFERROR(MONTH(emp_db[[#This Row],[Exit Date]]),"")</f>
        <v/>
      </c>
    </row>
    <row r="48" spans="2:22">
      <c r="B48" s="38">
        <v>45</v>
      </c>
      <c r="C48" s="39" t="s">
        <v>68</v>
      </c>
      <c r="D48" s="38" t="s">
        <v>130</v>
      </c>
      <c r="E48" s="38" t="s">
        <v>148</v>
      </c>
      <c r="F48" s="40">
        <v>33162</v>
      </c>
      <c r="G48" s="38" t="s">
        <v>151</v>
      </c>
      <c r="H48" s="40">
        <v>41098</v>
      </c>
      <c r="I48" s="40" t="s">
        <v>217</v>
      </c>
      <c r="J48" s="38" t="s">
        <v>158</v>
      </c>
      <c r="K48" s="38" t="s">
        <v>165</v>
      </c>
      <c r="L48" s="38" t="s">
        <v>155</v>
      </c>
      <c r="M48" s="38"/>
      <c r="N48" s="40">
        <v>42448</v>
      </c>
      <c r="O48" s="38"/>
      <c r="P48" s="38" t="s">
        <v>162</v>
      </c>
      <c r="Q48" s="41">
        <f ca="1">IF(emp_db[[#This Row],[Exit Date]]&lt;&gt;"",(emp_db[[#This Row],[Exit Date]]-emp_db[[#This Row],[Column1]])/365,IF(emp_db[[#This Row],[ID]]&lt;&gt;"",(TODAY()-emp_db[[#This Row],[Column1]])/365,""))</f>
        <v>3.6986301369863015</v>
      </c>
      <c r="R48" s="42">
        <f ca="1">IF(emp_db[[#This Row],[Date of Birth]]&lt;&gt;"",(TODAY()-emp_db[[#This Row],[Date of Birth]])/365,"")</f>
        <v>30.093150684931508</v>
      </c>
      <c r="S48" s="42">
        <f>YEAR(emp_db[[#This Row],[Column1]])</f>
        <v>2012</v>
      </c>
      <c r="T48" s="42">
        <f>MONTH(emp_db[[#This Row],[Column1]])</f>
        <v>7</v>
      </c>
      <c r="U48" s="42">
        <f>IFERROR(YEAR(emp_db[[#This Row],[Exit Date]]),"")</f>
        <v>2016</v>
      </c>
      <c r="V48" s="42">
        <f>IFERROR(MONTH(emp_db[[#This Row],[Exit Date]]),"")</f>
        <v>3</v>
      </c>
    </row>
    <row r="49" spans="2:22">
      <c r="B49" s="38">
        <v>46</v>
      </c>
      <c r="C49" s="39" t="s">
        <v>69</v>
      </c>
      <c r="D49" s="38" t="s">
        <v>131</v>
      </c>
      <c r="E49" s="38" t="s">
        <v>148</v>
      </c>
      <c r="F49" s="40">
        <v>31105</v>
      </c>
      <c r="G49" s="38" t="s">
        <v>150</v>
      </c>
      <c r="H49" s="40">
        <v>41825</v>
      </c>
      <c r="I49" s="40" t="s">
        <v>214</v>
      </c>
      <c r="J49" s="38" t="s">
        <v>159</v>
      </c>
      <c r="K49" s="38" t="s">
        <v>228</v>
      </c>
      <c r="L49" s="38" t="s">
        <v>153</v>
      </c>
      <c r="M49" s="38"/>
      <c r="N49" s="40" t="s">
        <v>152</v>
      </c>
      <c r="O49" s="38"/>
      <c r="P49" s="38"/>
      <c r="Q49" s="41">
        <f ca="1">IF(emp_db[[#This Row],[Exit Date]]&lt;&gt;"",(emp_db[[#This Row],[Exit Date]]-emp_db[[#This Row],[Column1]])/365,IF(emp_db[[#This Row],[ID]]&lt;&gt;"",(TODAY()-emp_db[[#This Row],[Column1]])/365,""))</f>
        <v>6.3589041095890408</v>
      </c>
      <c r="R49" s="42">
        <f ca="1">IF(emp_db[[#This Row],[Date of Birth]]&lt;&gt;"",(TODAY()-emp_db[[#This Row],[Date of Birth]])/365,"")</f>
        <v>35.728767123287675</v>
      </c>
      <c r="S49" s="42">
        <f>YEAR(emp_db[[#This Row],[Column1]])</f>
        <v>2014</v>
      </c>
      <c r="T49" s="42">
        <f>MONTH(emp_db[[#This Row],[Column1]])</f>
        <v>7</v>
      </c>
      <c r="U49" s="42" t="str">
        <f>IFERROR(YEAR(emp_db[[#This Row],[Exit Date]]),"")</f>
        <v/>
      </c>
      <c r="V49" s="42" t="str">
        <f>IFERROR(MONTH(emp_db[[#This Row],[Exit Date]]),"")</f>
        <v/>
      </c>
    </row>
    <row r="50" spans="2:22">
      <c r="B50" s="38">
        <v>47</v>
      </c>
      <c r="C50" s="39" t="s">
        <v>70</v>
      </c>
      <c r="D50" s="38" t="s">
        <v>132</v>
      </c>
      <c r="E50" s="38" t="s">
        <v>148</v>
      </c>
      <c r="F50" s="40">
        <v>27661</v>
      </c>
      <c r="G50" s="38" t="s">
        <v>150</v>
      </c>
      <c r="H50" s="40">
        <v>41784</v>
      </c>
      <c r="I50" s="40" t="s">
        <v>218</v>
      </c>
      <c r="J50" s="38" t="s">
        <v>156</v>
      </c>
      <c r="K50" s="38" t="s">
        <v>165</v>
      </c>
      <c r="L50" s="38" t="s">
        <v>154</v>
      </c>
      <c r="M50" s="38"/>
      <c r="N50" s="40">
        <v>42532</v>
      </c>
      <c r="O50" s="38"/>
      <c r="P50" s="38" t="s">
        <v>162</v>
      </c>
      <c r="Q50" s="41">
        <f ca="1">IF(emp_db[[#This Row],[Exit Date]]&lt;&gt;"",(emp_db[[#This Row],[Exit Date]]-emp_db[[#This Row],[Column1]])/365,IF(emp_db[[#This Row],[ID]]&lt;&gt;"",(TODAY()-emp_db[[#This Row],[Column1]])/365,""))</f>
        <v>2.0493150684931507</v>
      </c>
      <c r="R50" s="42">
        <f ca="1">IF(emp_db[[#This Row],[Date of Birth]]&lt;&gt;"",(TODAY()-emp_db[[#This Row],[Date of Birth]])/365,"")</f>
        <v>45.164383561643838</v>
      </c>
      <c r="S50" s="42">
        <f>YEAR(emp_db[[#This Row],[Column1]])</f>
        <v>2014</v>
      </c>
      <c r="T50" s="42">
        <f>MONTH(emp_db[[#This Row],[Column1]])</f>
        <v>5</v>
      </c>
      <c r="U50" s="42">
        <f>IFERROR(YEAR(emp_db[[#This Row],[Exit Date]]),"")</f>
        <v>2016</v>
      </c>
      <c r="V50" s="42">
        <f>IFERROR(MONTH(emp_db[[#This Row],[Exit Date]]),"")</f>
        <v>6</v>
      </c>
    </row>
    <row r="51" spans="2:22">
      <c r="B51" s="38">
        <v>48</v>
      </c>
      <c r="C51" s="39" t="s">
        <v>71</v>
      </c>
      <c r="D51" s="38" t="s">
        <v>133</v>
      </c>
      <c r="E51" s="38" t="s">
        <v>148</v>
      </c>
      <c r="F51" s="40">
        <v>28111</v>
      </c>
      <c r="G51" s="38" t="s">
        <v>151</v>
      </c>
      <c r="H51" s="40">
        <v>41665</v>
      </c>
      <c r="I51" s="40" t="s">
        <v>214</v>
      </c>
      <c r="J51" s="38" t="s">
        <v>158</v>
      </c>
      <c r="K51" s="38" t="s">
        <v>234</v>
      </c>
      <c r="L51" s="38" t="s">
        <v>153</v>
      </c>
      <c r="M51" s="38"/>
      <c r="N51" s="40" t="s">
        <v>152</v>
      </c>
      <c r="O51" s="38"/>
      <c r="P51" s="38"/>
      <c r="Q51" s="41">
        <f ca="1">IF(emp_db[[#This Row],[Exit Date]]&lt;&gt;"",(emp_db[[#This Row],[Exit Date]]-emp_db[[#This Row],[Column1]])/365,IF(emp_db[[#This Row],[ID]]&lt;&gt;"",(TODAY()-emp_db[[#This Row],[Column1]])/365,""))</f>
        <v>6.7972602739726025</v>
      </c>
      <c r="R51" s="42">
        <f ca="1">IF(emp_db[[#This Row],[Date of Birth]]&lt;&gt;"",(TODAY()-emp_db[[#This Row],[Date of Birth]])/365,"")</f>
        <v>43.93150684931507</v>
      </c>
      <c r="S51" s="42">
        <f>YEAR(emp_db[[#This Row],[Column1]])</f>
        <v>2014</v>
      </c>
      <c r="T51" s="42">
        <f>MONTH(emp_db[[#This Row],[Column1]])</f>
        <v>1</v>
      </c>
      <c r="U51" s="42" t="str">
        <f>IFERROR(YEAR(emp_db[[#This Row],[Exit Date]]),"")</f>
        <v/>
      </c>
      <c r="V51" s="42" t="str">
        <f>IFERROR(MONTH(emp_db[[#This Row],[Exit Date]]),"")</f>
        <v/>
      </c>
    </row>
    <row r="52" spans="2:22">
      <c r="B52" s="38">
        <v>49</v>
      </c>
      <c r="C52" s="39" t="s">
        <v>72</v>
      </c>
      <c r="D52" s="38" t="s">
        <v>134</v>
      </c>
      <c r="E52" s="38" t="s">
        <v>148</v>
      </c>
      <c r="F52" s="40">
        <v>34241</v>
      </c>
      <c r="G52" s="38" t="s">
        <v>151</v>
      </c>
      <c r="H52" s="40">
        <v>42453</v>
      </c>
      <c r="I52" s="40" t="s">
        <v>217</v>
      </c>
      <c r="J52" s="38" t="s">
        <v>158</v>
      </c>
      <c r="K52" s="38" t="s">
        <v>234</v>
      </c>
      <c r="L52" s="38" t="s">
        <v>154</v>
      </c>
      <c r="M52" s="38"/>
      <c r="N52" s="40" t="s">
        <v>152</v>
      </c>
      <c r="O52" s="38"/>
      <c r="P52" s="38"/>
      <c r="Q52" s="41">
        <f ca="1">IF(emp_db[[#This Row],[Exit Date]]&lt;&gt;"",(emp_db[[#This Row],[Exit Date]]-emp_db[[#This Row],[Column1]])/365,IF(emp_db[[#This Row],[ID]]&lt;&gt;"",(TODAY()-emp_db[[#This Row],[Column1]])/365,""))</f>
        <v>4.6383561643835618</v>
      </c>
      <c r="R52" s="42">
        <f ca="1">IF(emp_db[[#This Row],[Date of Birth]]&lt;&gt;"",(TODAY()-emp_db[[#This Row],[Date of Birth]])/365,"")</f>
        <v>27.136986301369863</v>
      </c>
      <c r="S52" s="42">
        <f>YEAR(emp_db[[#This Row],[Column1]])</f>
        <v>2016</v>
      </c>
      <c r="T52" s="42">
        <f>MONTH(emp_db[[#This Row],[Column1]])</f>
        <v>3</v>
      </c>
      <c r="U52" s="42" t="str">
        <f>IFERROR(YEAR(emp_db[[#This Row],[Exit Date]]),"")</f>
        <v/>
      </c>
      <c r="V52" s="42" t="str">
        <f>IFERROR(MONTH(emp_db[[#This Row],[Exit Date]]),"")</f>
        <v/>
      </c>
    </row>
    <row r="53" spans="2:22">
      <c r="B53" s="38">
        <v>50</v>
      </c>
      <c r="C53" s="39" t="s">
        <v>73</v>
      </c>
      <c r="D53" s="38" t="s">
        <v>135</v>
      </c>
      <c r="E53" s="38" t="s">
        <v>148</v>
      </c>
      <c r="F53" s="40">
        <v>29765</v>
      </c>
      <c r="G53" s="38" t="s">
        <v>151</v>
      </c>
      <c r="H53" s="40">
        <v>43020</v>
      </c>
      <c r="I53" s="40" t="s">
        <v>215</v>
      </c>
      <c r="J53" s="38" t="s">
        <v>160</v>
      </c>
      <c r="K53" s="38" t="s">
        <v>230</v>
      </c>
      <c r="L53" s="38" t="s">
        <v>154</v>
      </c>
      <c r="M53" s="38"/>
      <c r="N53" s="40">
        <v>43206</v>
      </c>
      <c r="O53" s="38"/>
      <c r="P53" s="38" t="s">
        <v>162</v>
      </c>
      <c r="Q53" s="41">
        <f ca="1">IF(emp_db[[#This Row],[Exit Date]]&lt;&gt;"",(emp_db[[#This Row],[Exit Date]]-emp_db[[#This Row],[Column1]])/365,IF(emp_db[[#This Row],[ID]]&lt;&gt;"",(TODAY()-emp_db[[#This Row],[Column1]])/365,""))</f>
        <v>0.50958904109589043</v>
      </c>
      <c r="R53" s="42">
        <f ca="1">IF(emp_db[[#This Row],[Date of Birth]]&lt;&gt;"",(TODAY()-emp_db[[#This Row],[Date of Birth]])/365,"")</f>
        <v>39.4</v>
      </c>
      <c r="S53" s="42">
        <f>YEAR(emp_db[[#This Row],[Column1]])</f>
        <v>2017</v>
      </c>
      <c r="T53" s="42">
        <f>MONTH(emp_db[[#This Row],[Column1]])</f>
        <v>10</v>
      </c>
      <c r="U53" s="42">
        <f>IFERROR(YEAR(emp_db[[#This Row],[Exit Date]]),"")</f>
        <v>2018</v>
      </c>
      <c r="V53" s="42">
        <f>IFERROR(MONTH(emp_db[[#This Row],[Exit Date]]),"")</f>
        <v>4</v>
      </c>
    </row>
    <row r="54" spans="2:22">
      <c r="B54" s="38">
        <v>51</v>
      </c>
      <c r="C54" s="39" t="s">
        <v>74</v>
      </c>
      <c r="D54" s="38" t="s">
        <v>136</v>
      </c>
      <c r="E54" s="38" t="s">
        <v>148</v>
      </c>
      <c r="F54" s="40">
        <v>33637</v>
      </c>
      <c r="G54" s="38" t="s">
        <v>151</v>
      </c>
      <c r="H54" s="40">
        <v>42052</v>
      </c>
      <c r="I54" s="40" t="s">
        <v>214</v>
      </c>
      <c r="J54" s="38" t="s">
        <v>156</v>
      </c>
      <c r="K54" s="38" t="s">
        <v>235</v>
      </c>
      <c r="L54" s="38" t="s">
        <v>154</v>
      </c>
      <c r="M54" s="38"/>
      <c r="N54" s="40" t="s">
        <v>152</v>
      </c>
      <c r="O54" s="38"/>
      <c r="P54" s="38"/>
      <c r="Q54" s="41">
        <f ca="1">IF(emp_db[[#This Row],[Exit Date]]&lt;&gt;"",(emp_db[[#This Row],[Exit Date]]-emp_db[[#This Row],[Column1]])/365,IF(emp_db[[#This Row],[ID]]&lt;&gt;"",(TODAY()-emp_db[[#This Row],[Column1]])/365,""))</f>
        <v>5.7369863013698632</v>
      </c>
      <c r="R54" s="42">
        <f ca="1">IF(emp_db[[#This Row],[Date of Birth]]&lt;&gt;"",(TODAY()-emp_db[[#This Row],[Date of Birth]])/365,"")</f>
        <v>28.791780821917808</v>
      </c>
      <c r="S54" s="42">
        <f>YEAR(emp_db[[#This Row],[Column1]])</f>
        <v>2015</v>
      </c>
      <c r="T54" s="42">
        <f>MONTH(emp_db[[#This Row],[Column1]])</f>
        <v>2</v>
      </c>
      <c r="U54" s="42" t="str">
        <f>IFERROR(YEAR(emp_db[[#This Row],[Exit Date]]),"")</f>
        <v/>
      </c>
      <c r="V54" s="42" t="str">
        <f>IFERROR(MONTH(emp_db[[#This Row],[Exit Date]]),"")</f>
        <v/>
      </c>
    </row>
    <row r="55" spans="2:22">
      <c r="B55" s="38">
        <v>52</v>
      </c>
      <c r="C55" s="39" t="s">
        <v>75</v>
      </c>
      <c r="D55" s="38" t="s">
        <v>137</v>
      </c>
      <c r="E55" s="38" t="s">
        <v>148</v>
      </c>
      <c r="F55" s="40">
        <v>32855</v>
      </c>
      <c r="G55" s="38" t="s">
        <v>151</v>
      </c>
      <c r="H55" s="40">
        <v>42026</v>
      </c>
      <c r="I55" s="40" t="s">
        <v>217</v>
      </c>
      <c r="J55" s="38" t="s">
        <v>158</v>
      </c>
      <c r="K55" s="38" t="s">
        <v>164</v>
      </c>
      <c r="L55" s="38" t="s">
        <v>155</v>
      </c>
      <c r="M55" s="38"/>
      <c r="N55" s="40" t="s">
        <v>152</v>
      </c>
      <c r="O55" s="38"/>
      <c r="P55" s="38"/>
      <c r="Q55" s="41">
        <f ca="1">IF(emp_db[[#This Row],[Exit Date]]&lt;&gt;"",(emp_db[[#This Row],[Exit Date]]-emp_db[[#This Row],[Column1]])/365,IF(emp_db[[#This Row],[ID]]&lt;&gt;"",(TODAY()-emp_db[[#This Row],[Column1]])/365,""))</f>
        <v>5.8082191780821919</v>
      </c>
      <c r="R55" s="42">
        <f ca="1">IF(emp_db[[#This Row],[Date of Birth]]&lt;&gt;"",(TODAY()-emp_db[[#This Row],[Date of Birth]])/365,"")</f>
        <v>30.934246575342467</v>
      </c>
      <c r="S55" s="42">
        <f>YEAR(emp_db[[#This Row],[Column1]])</f>
        <v>2015</v>
      </c>
      <c r="T55" s="42">
        <f>MONTH(emp_db[[#This Row],[Column1]])</f>
        <v>1</v>
      </c>
      <c r="U55" s="42" t="str">
        <f>IFERROR(YEAR(emp_db[[#This Row],[Exit Date]]),"")</f>
        <v/>
      </c>
      <c r="V55" s="42" t="str">
        <f>IFERROR(MONTH(emp_db[[#This Row],[Exit Date]]),"")</f>
        <v/>
      </c>
    </row>
    <row r="56" spans="2:22">
      <c r="B56" s="38">
        <v>53</v>
      </c>
      <c r="C56" s="39" t="s">
        <v>76</v>
      </c>
      <c r="D56" s="38" t="s">
        <v>138</v>
      </c>
      <c r="E56" s="38" t="s">
        <v>148</v>
      </c>
      <c r="F56" s="40">
        <v>35309</v>
      </c>
      <c r="G56" s="38" t="s">
        <v>150</v>
      </c>
      <c r="H56" s="40">
        <v>41519</v>
      </c>
      <c r="I56" s="40" t="s">
        <v>215</v>
      </c>
      <c r="J56" s="38" t="s">
        <v>159</v>
      </c>
      <c r="K56" s="38" t="s">
        <v>235</v>
      </c>
      <c r="L56" s="38" t="s">
        <v>154</v>
      </c>
      <c r="M56" s="38"/>
      <c r="N56" s="40">
        <v>42899</v>
      </c>
      <c r="O56" s="38"/>
      <c r="P56" s="38" t="s">
        <v>162</v>
      </c>
      <c r="Q56" s="41">
        <f ca="1">IF(emp_db[[#This Row],[Exit Date]]&lt;&gt;"",(emp_db[[#This Row],[Exit Date]]-emp_db[[#This Row],[Column1]])/365,IF(emp_db[[#This Row],[ID]]&lt;&gt;"",(TODAY()-emp_db[[#This Row],[Column1]])/365,""))</f>
        <v>3.7808219178082192</v>
      </c>
      <c r="R56" s="42">
        <f ca="1">IF(emp_db[[#This Row],[Date of Birth]]&lt;&gt;"",(TODAY()-emp_db[[#This Row],[Date of Birth]])/365,"")</f>
        <v>24.210958904109589</v>
      </c>
      <c r="S56" s="42">
        <f>YEAR(emp_db[[#This Row],[Column1]])</f>
        <v>2013</v>
      </c>
      <c r="T56" s="42">
        <f>MONTH(emp_db[[#This Row],[Column1]])</f>
        <v>9</v>
      </c>
      <c r="U56" s="42">
        <f>IFERROR(YEAR(emp_db[[#This Row],[Exit Date]]),"")</f>
        <v>2017</v>
      </c>
      <c r="V56" s="42">
        <f>IFERROR(MONTH(emp_db[[#This Row],[Exit Date]]),"")</f>
        <v>6</v>
      </c>
    </row>
    <row r="57" spans="2:22">
      <c r="B57" s="38">
        <v>54</v>
      </c>
      <c r="C57" s="39" t="s">
        <v>77</v>
      </c>
      <c r="D57" s="38" t="s">
        <v>139</v>
      </c>
      <c r="E57" s="38" t="s">
        <v>148</v>
      </c>
      <c r="F57" s="40">
        <v>30474</v>
      </c>
      <c r="G57" s="38" t="s">
        <v>150</v>
      </c>
      <c r="H57" s="40">
        <v>41348</v>
      </c>
      <c r="I57" s="40" t="s">
        <v>212</v>
      </c>
      <c r="J57" s="38" t="s">
        <v>161</v>
      </c>
      <c r="K57" s="38" t="s">
        <v>236</v>
      </c>
      <c r="L57" s="38" t="s">
        <v>153</v>
      </c>
      <c r="M57" s="38"/>
      <c r="N57" s="40">
        <v>43301</v>
      </c>
      <c r="O57" s="38"/>
      <c r="P57" s="38" t="s">
        <v>163</v>
      </c>
      <c r="Q57" s="41">
        <f ca="1">IF(emp_db[[#This Row],[Exit Date]]&lt;&gt;"",(emp_db[[#This Row],[Exit Date]]-emp_db[[#This Row],[Column1]])/365,IF(emp_db[[#This Row],[ID]]&lt;&gt;"",(TODAY()-emp_db[[#This Row],[Column1]])/365,""))</f>
        <v>5.3506849315068497</v>
      </c>
      <c r="R57" s="42">
        <f ca="1">IF(emp_db[[#This Row],[Date of Birth]]&lt;&gt;"",(TODAY()-emp_db[[#This Row],[Date of Birth]])/365,"")</f>
        <v>37.457534246575342</v>
      </c>
      <c r="S57" s="42">
        <f>YEAR(emp_db[[#This Row],[Column1]])</f>
        <v>2013</v>
      </c>
      <c r="T57" s="42">
        <f>MONTH(emp_db[[#This Row],[Column1]])</f>
        <v>3</v>
      </c>
      <c r="U57" s="42">
        <f>IFERROR(YEAR(emp_db[[#This Row],[Exit Date]]),"")</f>
        <v>2018</v>
      </c>
      <c r="V57" s="42">
        <f>IFERROR(MONTH(emp_db[[#This Row],[Exit Date]]),"")</f>
        <v>7</v>
      </c>
    </row>
    <row r="58" spans="2:22">
      <c r="B58" s="38">
        <v>55</v>
      </c>
      <c r="C58" s="39" t="s">
        <v>78</v>
      </c>
      <c r="D58" s="38" t="s">
        <v>140</v>
      </c>
      <c r="E58" s="38" t="s">
        <v>148</v>
      </c>
      <c r="F58" s="40">
        <v>32968</v>
      </c>
      <c r="G58" s="38" t="s">
        <v>151</v>
      </c>
      <c r="H58" s="40">
        <v>41617</v>
      </c>
      <c r="I58" s="40" t="s">
        <v>217</v>
      </c>
      <c r="J58" s="38" t="s">
        <v>161</v>
      </c>
      <c r="K58" s="38" t="s">
        <v>226</v>
      </c>
      <c r="L58" s="38" t="s">
        <v>154</v>
      </c>
      <c r="M58" s="38"/>
      <c r="N58" s="40">
        <v>43019</v>
      </c>
      <c r="O58" s="38"/>
      <c r="P58" s="38" t="s">
        <v>162</v>
      </c>
      <c r="Q58" s="41">
        <f ca="1">IF(emp_db[[#This Row],[Exit Date]]&lt;&gt;"",(emp_db[[#This Row],[Exit Date]]-emp_db[[#This Row],[Column1]])/365,IF(emp_db[[#This Row],[ID]]&lt;&gt;"",(TODAY()-emp_db[[#This Row],[Column1]])/365,""))</f>
        <v>3.8410958904109589</v>
      </c>
      <c r="R58" s="42">
        <f ca="1">IF(emp_db[[#This Row],[Date of Birth]]&lt;&gt;"",(TODAY()-emp_db[[#This Row],[Date of Birth]])/365,"")</f>
        <v>30.624657534246577</v>
      </c>
      <c r="S58" s="42">
        <f>YEAR(emp_db[[#This Row],[Column1]])</f>
        <v>2013</v>
      </c>
      <c r="T58" s="42">
        <f>MONTH(emp_db[[#This Row],[Column1]])</f>
        <v>12</v>
      </c>
      <c r="U58" s="42">
        <f>IFERROR(YEAR(emp_db[[#This Row],[Exit Date]]),"")</f>
        <v>2017</v>
      </c>
      <c r="V58" s="42">
        <f>IFERROR(MONTH(emp_db[[#This Row],[Exit Date]]),"")</f>
        <v>10</v>
      </c>
    </row>
    <row r="59" spans="2:22">
      <c r="B59" s="38">
        <v>56</v>
      </c>
      <c r="C59" s="39" t="s">
        <v>79</v>
      </c>
      <c r="D59" s="38" t="s">
        <v>141</v>
      </c>
      <c r="E59" s="38" t="s">
        <v>148</v>
      </c>
      <c r="F59" s="40">
        <v>31701</v>
      </c>
      <c r="G59" s="38" t="s">
        <v>151</v>
      </c>
      <c r="H59" s="40">
        <v>41595</v>
      </c>
      <c r="I59" s="40" t="s">
        <v>212</v>
      </c>
      <c r="J59" s="38" t="s">
        <v>158</v>
      </c>
      <c r="K59" s="38" t="s">
        <v>230</v>
      </c>
      <c r="L59" s="38" t="s">
        <v>153</v>
      </c>
      <c r="M59" s="38"/>
      <c r="N59" s="40">
        <v>43690</v>
      </c>
      <c r="O59" s="38"/>
      <c r="P59" s="38" t="s">
        <v>162</v>
      </c>
      <c r="Q59" s="41">
        <f ca="1">IF(emp_db[[#This Row],[Exit Date]]&lt;&gt;"",(emp_db[[#This Row],[Exit Date]]-emp_db[[#This Row],[Column1]])/365,IF(emp_db[[#This Row],[ID]]&lt;&gt;"",(TODAY()-emp_db[[#This Row],[Column1]])/365,""))</f>
        <v>5.7397260273972606</v>
      </c>
      <c r="R59" s="42">
        <f ca="1">IF(emp_db[[#This Row],[Date of Birth]]&lt;&gt;"",(TODAY()-emp_db[[#This Row],[Date of Birth]])/365,"")</f>
        <v>34.095890410958901</v>
      </c>
      <c r="S59" s="42">
        <f>YEAR(emp_db[[#This Row],[Column1]])</f>
        <v>2013</v>
      </c>
      <c r="T59" s="42">
        <f>MONTH(emp_db[[#This Row],[Column1]])</f>
        <v>11</v>
      </c>
      <c r="U59" s="42">
        <f>IFERROR(YEAR(emp_db[[#This Row],[Exit Date]]),"")</f>
        <v>2019</v>
      </c>
      <c r="V59" s="42">
        <f>IFERROR(MONTH(emp_db[[#This Row],[Exit Date]]),"")</f>
        <v>8</v>
      </c>
    </row>
    <row r="60" spans="2:22">
      <c r="B60" s="38">
        <v>57</v>
      </c>
      <c r="C60" s="39" t="s">
        <v>80</v>
      </c>
      <c r="D60" s="38" t="s">
        <v>142</v>
      </c>
      <c r="E60" s="38" t="s">
        <v>148</v>
      </c>
      <c r="F60" s="40">
        <v>31992</v>
      </c>
      <c r="G60" s="38" t="s">
        <v>151</v>
      </c>
      <c r="H60" s="40">
        <v>43501</v>
      </c>
      <c r="I60" s="40" t="s">
        <v>218</v>
      </c>
      <c r="J60" s="38" t="s">
        <v>157</v>
      </c>
      <c r="K60" s="38" t="s">
        <v>228</v>
      </c>
      <c r="L60" s="38" t="s">
        <v>154</v>
      </c>
      <c r="M60" s="38"/>
      <c r="N60" s="40" t="s">
        <v>152</v>
      </c>
      <c r="O60" s="38"/>
      <c r="P60" s="38"/>
      <c r="Q60" s="41">
        <f ca="1">IF(emp_db[[#This Row],[Exit Date]]&lt;&gt;"",(emp_db[[#This Row],[Exit Date]]-emp_db[[#This Row],[Column1]])/365,IF(emp_db[[#This Row],[ID]]&lt;&gt;"",(TODAY()-emp_db[[#This Row],[Column1]])/365,""))</f>
        <v>1.7671232876712328</v>
      </c>
      <c r="R60" s="42">
        <f ca="1">IF(emp_db[[#This Row],[Date of Birth]]&lt;&gt;"",(TODAY()-emp_db[[#This Row],[Date of Birth]])/365,"")</f>
        <v>33.298630136986304</v>
      </c>
      <c r="S60" s="42">
        <f>YEAR(emp_db[[#This Row],[Column1]])</f>
        <v>2019</v>
      </c>
      <c r="T60" s="42">
        <f>MONTH(emp_db[[#This Row],[Column1]])</f>
        <v>2</v>
      </c>
      <c r="U60" s="42" t="str">
        <f>IFERROR(YEAR(emp_db[[#This Row],[Exit Date]]),"")</f>
        <v/>
      </c>
      <c r="V60" s="42" t="str">
        <f>IFERROR(MONTH(emp_db[[#This Row],[Exit Date]]),"")</f>
        <v/>
      </c>
    </row>
    <row r="61" spans="2:22">
      <c r="B61" s="38">
        <v>58</v>
      </c>
      <c r="C61" s="39" t="s">
        <v>81</v>
      </c>
      <c r="D61" s="38" t="s">
        <v>143</v>
      </c>
      <c r="E61" s="38" t="s">
        <v>148</v>
      </c>
      <c r="F61" s="40">
        <v>31036</v>
      </c>
      <c r="G61" s="38" t="s">
        <v>150</v>
      </c>
      <c r="H61" s="40">
        <v>43274</v>
      </c>
      <c r="I61" s="40" t="s">
        <v>214</v>
      </c>
      <c r="J61" s="38" t="s">
        <v>161</v>
      </c>
      <c r="K61" s="38" t="s">
        <v>230</v>
      </c>
      <c r="L61" s="38" t="s">
        <v>154</v>
      </c>
      <c r="M61" s="38"/>
      <c r="N61" s="40">
        <v>43493</v>
      </c>
      <c r="O61" s="38"/>
      <c r="P61" s="38" t="s">
        <v>162</v>
      </c>
      <c r="Q61" s="41">
        <f ca="1">IF(emp_db[[#This Row],[Exit Date]]&lt;&gt;"",(emp_db[[#This Row],[Exit Date]]-emp_db[[#This Row],[Column1]])/365,IF(emp_db[[#This Row],[ID]]&lt;&gt;"",(TODAY()-emp_db[[#This Row],[Column1]])/365,""))</f>
        <v>0.6</v>
      </c>
      <c r="R61" s="42">
        <f ca="1">IF(emp_db[[#This Row],[Date of Birth]]&lt;&gt;"",(TODAY()-emp_db[[#This Row],[Date of Birth]])/365,"")</f>
        <v>35.917808219178085</v>
      </c>
      <c r="S61" s="42">
        <f>YEAR(emp_db[[#This Row],[Column1]])</f>
        <v>2018</v>
      </c>
      <c r="T61" s="42">
        <f>MONTH(emp_db[[#This Row],[Column1]])</f>
        <v>6</v>
      </c>
      <c r="U61" s="42">
        <f>IFERROR(YEAR(emp_db[[#This Row],[Exit Date]]),"")</f>
        <v>2019</v>
      </c>
      <c r="V61" s="42">
        <f>IFERROR(MONTH(emp_db[[#This Row],[Exit Date]]),"")</f>
        <v>1</v>
      </c>
    </row>
    <row r="62" spans="2:22">
      <c r="B62" s="38">
        <v>59</v>
      </c>
      <c r="C62" s="39" t="s">
        <v>82</v>
      </c>
      <c r="D62" s="38" t="s">
        <v>144</v>
      </c>
      <c r="E62" s="38" t="s">
        <v>148</v>
      </c>
      <c r="F62" s="40">
        <v>27872</v>
      </c>
      <c r="G62" s="38" t="s">
        <v>150</v>
      </c>
      <c r="H62" s="40">
        <v>41284</v>
      </c>
      <c r="I62" s="40" t="s">
        <v>216</v>
      </c>
      <c r="J62" s="38" t="s">
        <v>156</v>
      </c>
      <c r="K62" s="38" t="s">
        <v>165</v>
      </c>
      <c r="L62" s="38" t="s">
        <v>153</v>
      </c>
      <c r="M62" s="38"/>
      <c r="N62" s="40">
        <v>43043</v>
      </c>
      <c r="O62" s="38"/>
      <c r="P62" s="38" t="s">
        <v>162</v>
      </c>
      <c r="Q62" s="41">
        <f ca="1">IF(emp_db[[#This Row],[Exit Date]]&lt;&gt;"",(emp_db[[#This Row],[Exit Date]]-emp_db[[#This Row],[Column1]])/365,IF(emp_db[[#This Row],[ID]]&lt;&gt;"",(TODAY()-emp_db[[#This Row],[Column1]])/365,""))</f>
        <v>4.8191780821917805</v>
      </c>
      <c r="R62" s="42">
        <f ca="1">IF(emp_db[[#This Row],[Date of Birth]]&lt;&gt;"",(TODAY()-emp_db[[#This Row],[Date of Birth]])/365,"")</f>
        <v>44.586301369863016</v>
      </c>
      <c r="S62" s="42">
        <f>YEAR(emp_db[[#This Row],[Column1]])</f>
        <v>2013</v>
      </c>
      <c r="T62" s="42">
        <f>MONTH(emp_db[[#This Row],[Column1]])</f>
        <v>1</v>
      </c>
      <c r="U62" s="42">
        <f>IFERROR(YEAR(emp_db[[#This Row],[Exit Date]]),"")</f>
        <v>2017</v>
      </c>
      <c r="V62" s="42">
        <f>IFERROR(MONTH(emp_db[[#This Row],[Exit Date]]),"")</f>
        <v>11</v>
      </c>
    </row>
    <row r="63" spans="2:22">
      <c r="B63" s="38">
        <v>60</v>
      </c>
      <c r="C63" s="39" t="s">
        <v>83</v>
      </c>
      <c r="D63" s="38" t="s">
        <v>145</v>
      </c>
      <c r="E63" s="38" t="s">
        <v>148</v>
      </c>
      <c r="F63" s="40">
        <v>35847</v>
      </c>
      <c r="G63" s="38" t="s">
        <v>151</v>
      </c>
      <c r="H63" s="40">
        <v>43772</v>
      </c>
      <c r="I63" s="40" t="s">
        <v>217</v>
      </c>
      <c r="J63" s="38" t="s">
        <v>158</v>
      </c>
      <c r="K63" s="38" t="s">
        <v>226</v>
      </c>
      <c r="L63" s="38" t="s">
        <v>154</v>
      </c>
      <c r="M63" s="38"/>
      <c r="N63" s="40" t="s">
        <v>152</v>
      </c>
      <c r="O63" s="38"/>
      <c r="P63" s="38"/>
      <c r="Q63" s="41">
        <f ca="1">IF(emp_db[[#This Row],[Exit Date]]&lt;&gt;"",(emp_db[[#This Row],[Exit Date]]-emp_db[[#This Row],[Column1]])/365,IF(emp_db[[#This Row],[ID]]&lt;&gt;"",(TODAY()-emp_db[[#This Row],[Column1]])/365,""))</f>
        <v>1.0246575342465754</v>
      </c>
      <c r="R63" s="42">
        <f ca="1">IF(emp_db[[#This Row],[Date of Birth]]&lt;&gt;"",(TODAY()-emp_db[[#This Row],[Date of Birth]])/365,"")</f>
        <v>22.736986301369864</v>
      </c>
      <c r="S63" s="42">
        <f>YEAR(emp_db[[#This Row],[Column1]])</f>
        <v>2019</v>
      </c>
      <c r="T63" s="42">
        <f>MONTH(emp_db[[#This Row],[Column1]])</f>
        <v>11</v>
      </c>
      <c r="U63" s="42" t="str">
        <f>IFERROR(YEAR(emp_db[[#This Row],[Exit Date]]),"")</f>
        <v/>
      </c>
      <c r="V63" s="42" t="str">
        <f>IFERROR(MONTH(emp_db[[#This Row],[Exit Date]]),"")</f>
        <v/>
      </c>
    </row>
    <row r="64" spans="2:22">
      <c r="B64" s="38">
        <v>61</v>
      </c>
      <c r="C64" s="39" t="s">
        <v>84</v>
      </c>
      <c r="D64" s="38" t="s">
        <v>146</v>
      </c>
      <c r="E64" s="38" t="s">
        <v>148</v>
      </c>
      <c r="F64" s="40">
        <v>34186</v>
      </c>
      <c r="G64" s="38" t="s">
        <v>151</v>
      </c>
      <c r="H64" s="40">
        <v>41761</v>
      </c>
      <c r="I64" s="40" t="s">
        <v>216</v>
      </c>
      <c r="J64" s="38" t="s">
        <v>159</v>
      </c>
      <c r="K64" s="38" t="s">
        <v>227</v>
      </c>
      <c r="L64" s="38" t="s">
        <v>155</v>
      </c>
      <c r="M64" s="38"/>
      <c r="N64" s="40">
        <v>42531</v>
      </c>
      <c r="O64" s="38" t="s">
        <v>168</v>
      </c>
      <c r="P64" s="38" t="s">
        <v>163</v>
      </c>
      <c r="Q64" s="41">
        <f ca="1">IF(emp_db[[#This Row],[Exit Date]]&lt;&gt;"",(emp_db[[#This Row],[Exit Date]]-emp_db[[#This Row],[Column1]])/365,IF(emp_db[[#This Row],[ID]]&lt;&gt;"",(TODAY()-emp_db[[#This Row],[Column1]])/365,""))</f>
        <v>2.1095890410958904</v>
      </c>
      <c r="R64" s="42">
        <f ca="1">IF(emp_db[[#This Row],[Date of Birth]]&lt;&gt;"",(TODAY()-emp_db[[#This Row],[Date of Birth]])/365,"")</f>
        <v>27.287671232876711</v>
      </c>
      <c r="S64" s="42">
        <f>YEAR(emp_db[[#This Row],[Column1]])</f>
        <v>2014</v>
      </c>
      <c r="T64" s="42">
        <f>MONTH(emp_db[[#This Row],[Column1]])</f>
        <v>5</v>
      </c>
      <c r="U64" s="42">
        <f>IFERROR(YEAR(emp_db[[#This Row],[Exit Date]]),"")</f>
        <v>2016</v>
      </c>
      <c r="V64" s="42">
        <f>IFERROR(MONTH(emp_db[[#This Row],[Exit Date]]),"")</f>
        <v>6</v>
      </c>
    </row>
    <row r="65" spans="2:22">
      <c r="B65" s="38">
        <v>62</v>
      </c>
      <c r="C65" s="39" t="s">
        <v>85</v>
      </c>
      <c r="D65" s="38" t="s">
        <v>147</v>
      </c>
      <c r="E65" s="38" t="s">
        <v>148</v>
      </c>
      <c r="F65" s="40">
        <v>28199</v>
      </c>
      <c r="G65" s="38" t="s">
        <v>151</v>
      </c>
      <c r="H65" s="40">
        <v>41851</v>
      </c>
      <c r="I65" s="40" t="s">
        <v>216</v>
      </c>
      <c r="J65" s="38" t="s">
        <v>156</v>
      </c>
      <c r="K65" s="38" t="s">
        <v>236</v>
      </c>
      <c r="L65" s="38" t="s">
        <v>154</v>
      </c>
      <c r="M65" s="38"/>
      <c r="N65" s="40">
        <v>43347</v>
      </c>
      <c r="O65" s="38" t="s">
        <v>167</v>
      </c>
      <c r="P65" s="38" t="s">
        <v>162</v>
      </c>
      <c r="Q65" s="41">
        <f ca="1">IF(emp_db[[#This Row],[Exit Date]]&lt;&gt;"",(emp_db[[#This Row],[Exit Date]]-emp_db[[#This Row],[Column1]])/365,IF(emp_db[[#This Row],[ID]]&lt;&gt;"",(TODAY()-emp_db[[#This Row],[Column1]])/365,""))</f>
        <v>4.0986301369863014</v>
      </c>
      <c r="R65" s="42">
        <f ca="1">IF(emp_db[[#This Row],[Date of Birth]]&lt;&gt;"",(TODAY()-emp_db[[#This Row],[Date of Birth]])/365,"")</f>
        <v>43.69041095890411</v>
      </c>
      <c r="S65" s="42">
        <f>YEAR(emp_db[[#This Row],[Column1]])</f>
        <v>2014</v>
      </c>
      <c r="T65" s="42">
        <f>MONTH(emp_db[[#This Row],[Column1]])</f>
        <v>7</v>
      </c>
      <c r="U65" s="42">
        <f>IFERROR(YEAR(emp_db[[#This Row],[Exit Date]]),"")</f>
        <v>2018</v>
      </c>
      <c r="V65" s="42">
        <f>IFERROR(MONTH(emp_db[[#This Row],[Exit Date]]),"")</f>
        <v>9</v>
      </c>
    </row>
    <row r="66" spans="2:22">
      <c r="B66" s="39"/>
      <c r="C66" s="39"/>
      <c r="D66" s="39"/>
      <c r="E66" s="39"/>
      <c r="F66" s="40"/>
      <c r="G66" s="38"/>
      <c r="H66" s="43"/>
      <c r="I66" s="40"/>
      <c r="J66" s="39"/>
      <c r="K66" s="38"/>
      <c r="L66" s="38"/>
      <c r="M66" s="38"/>
      <c r="N66" s="43"/>
      <c r="O66" s="38"/>
      <c r="P66" s="38"/>
      <c r="Q66" s="41" t="str">
        <f ca="1">IF(emp_db[[#This Row],[Exit Date]]&lt;&gt;"",(emp_db[[#This Row],[Exit Date]]-emp_db[[#This Row],[Column1]])/365,IF(emp_db[[#This Row],[ID]]&lt;&gt;"",(TODAY()-emp_db[[#This Row],[Column1]])/365,""))</f>
        <v/>
      </c>
      <c r="R66" s="42" t="str">
        <f ca="1">IF(emp_db[[#This Row],[Date of Birth]]&lt;&gt;"",(TODAY()-emp_db[[#This Row],[Date of Birth]])/365,"")</f>
        <v/>
      </c>
      <c r="S66" s="42">
        <f>YEAR(emp_db[[#This Row],[Column1]])</f>
        <v>1900</v>
      </c>
      <c r="T66" s="42">
        <f>MONTH(emp_db[[#This Row],[Column1]])</f>
        <v>1</v>
      </c>
      <c r="U66" s="42">
        <f>IFERROR(YEAR(emp_db[[#This Row],[Exit Date]]),"")</f>
        <v>1900</v>
      </c>
      <c r="V66" s="42">
        <f>IFERROR(MONTH(emp_db[[#This Row],[Exit Date]]),"")</f>
        <v>1</v>
      </c>
    </row>
    <row r="67" spans="2:22">
      <c r="B67" s="39"/>
      <c r="C67" s="39"/>
      <c r="D67" s="39"/>
      <c r="E67" s="39"/>
      <c r="F67" s="40"/>
      <c r="G67" s="38"/>
      <c r="H67" s="43"/>
      <c r="I67" s="43"/>
      <c r="J67" s="39"/>
      <c r="K67" s="38"/>
      <c r="L67" s="39"/>
      <c r="M67" s="39"/>
      <c r="N67" s="43"/>
      <c r="O67" s="38"/>
      <c r="P67" s="38"/>
      <c r="Q67" s="41" t="str">
        <f ca="1">IF(emp_db[[#This Row],[Exit Date]]&lt;&gt;"",(emp_db[[#This Row],[Exit Date]]-emp_db[[#This Row],[Column1]])/365,IF(emp_db[[#This Row],[ID]]&lt;&gt;"",(TODAY()-emp_db[[#This Row],[Column1]])/365,""))</f>
        <v/>
      </c>
      <c r="R67" s="42" t="str">
        <f ca="1">IF(emp_db[[#This Row],[Date of Birth]]&lt;&gt;"",(TODAY()-emp_db[[#This Row],[Date of Birth]])/365,"")</f>
        <v/>
      </c>
      <c r="S67" s="42">
        <f>YEAR(emp_db[[#This Row],[Column1]])</f>
        <v>1900</v>
      </c>
      <c r="T67" s="42">
        <f>MONTH(emp_db[[#This Row],[Column1]])</f>
        <v>1</v>
      </c>
      <c r="U67" s="42">
        <f>IFERROR(YEAR(emp_db[[#This Row],[Exit Date]]),"")</f>
        <v>1900</v>
      </c>
      <c r="V67" s="42">
        <f>IFERROR(MONTH(emp_db[[#This Row],[Exit Date]]),"")</f>
        <v>1</v>
      </c>
    </row>
    <row r="68" spans="2:22">
      <c r="B68" s="39"/>
      <c r="C68" s="39"/>
      <c r="D68" s="39"/>
      <c r="E68" s="39"/>
      <c r="F68" s="40"/>
      <c r="G68" s="38"/>
      <c r="H68" s="43"/>
      <c r="I68" s="43"/>
      <c r="J68" s="39"/>
      <c r="K68" s="38"/>
      <c r="L68" s="39"/>
      <c r="M68" s="39"/>
      <c r="N68" s="43"/>
      <c r="O68" s="38"/>
      <c r="P68" s="38"/>
      <c r="Q68" s="41" t="str">
        <f ca="1">IF(emp_db[[#This Row],[Exit Date]]&lt;&gt;"",(emp_db[[#This Row],[Exit Date]]-emp_db[[#This Row],[Column1]])/365,IF(emp_db[[#This Row],[ID]]&lt;&gt;"",(TODAY()-emp_db[[#This Row],[Column1]])/365,""))</f>
        <v/>
      </c>
      <c r="R68" s="42" t="str">
        <f ca="1">IF(emp_db[[#This Row],[Date of Birth]]&lt;&gt;"",(TODAY()-emp_db[[#This Row],[Date of Birth]])/365,"")</f>
        <v/>
      </c>
      <c r="S68" s="42">
        <f>YEAR(emp_db[[#This Row],[Column1]])</f>
        <v>1900</v>
      </c>
      <c r="T68" s="42">
        <f>MONTH(emp_db[[#This Row],[Column1]])</f>
        <v>1</v>
      </c>
      <c r="U68" s="42">
        <f>IFERROR(YEAR(emp_db[[#This Row],[Exit Date]]),"")</f>
        <v>1900</v>
      </c>
      <c r="V68" s="42">
        <f>IFERROR(MONTH(emp_db[[#This Row],[Exit Date]]),"")</f>
        <v>1</v>
      </c>
    </row>
    <row r="69" spans="2:22">
      <c r="B69" s="39"/>
      <c r="C69" s="39"/>
      <c r="D69" s="39"/>
      <c r="E69" s="39"/>
      <c r="F69" s="40"/>
      <c r="G69" s="38"/>
      <c r="H69" s="43"/>
      <c r="I69" s="43"/>
      <c r="J69" s="39"/>
      <c r="K69" s="38"/>
      <c r="L69" s="39"/>
      <c r="M69" s="39"/>
      <c r="N69" s="43"/>
      <c r="O69" s="38"/>
      <c r="P69" s="38"/>
      <c r="Q69" s="41" t="str">
        <f ca="1">IF(emp_db[[#This Row],[Exit Date]]&lt;&gt;"",(emp_db[[#This Row],[Exit Date]]-emp_db[[#This Row],[Column1]])/365,IF(emp_db[[#This Row],[ID]]&lt;&gt;"",(TODAY()-emp_db[[#This Row],[Column1]])/365,""))</f>
        <v/>
      </c>
      <c r="R69" s="42" t="str">
        <f ca="1">IF(emp_db[[#This Row],[Date of Birth]]&lt;&gt;"",(TODAY()-emp_db[[#This Row],[Date of Birth]])/365,"")</f>
        <v/>
      </c>
      <c r="S69" s="42">
        <f>YEAR(emp_db[[#This Row],[Column1]])</f>
        <v>1900</v>
      </c>
      <c r="T69" s="42">
        <f>MONTH(emp_db[[#This Row],[Column1]])</f>
        <v>1</v>
      </c>
      <c r="U69" s="42">
        <f>IFERROR(YEAR(emp_db[[#This Row],[Exit Date]]),"")</f>
        <v>1900</v>
      </c>
      <c r="V69" s="42">
        <f>IFERROR(MONTH(emp_db[[#This Row],[Exit Date]]),"")</f>
        <v>1</v>
      </c>
    </row>
    <row r="70" spans="2:22">
      <c r="B70" s="39"/>
      <c r="C70" s="39"/>
      <c r="D70" s="39"/>
      <c r="E70" s="39"/>
      <c r="F70" s="40"/>
      <c r="G70" s="38"/>
      <c r="H70" s="43"/>
      <c r="I70" s="43"/>
      <c r="J70" s="39"/>
      <c r="K70" s="38"/>
      <c r="L70" s="39"/>
      <c r="M70" s="39"/>
      <c r="N70" s="43"/>
      <c r="O70" s="38"/>
      <c r="P70" s="38"/>
      <c r="Q70" s="41" t="str">
        <f ca="1">IF(emp_db[[#This Row],[Exit Date]]&lt;&gt;"",(emp_db[[#This Row],[Exit Date]]-emp_db[[#This Row],[Column1]])/365,IF(emp_db[[#This Row],[ID]]&lt;&gt;"",(TODAY()-emp_db[[#This Row],[Column1]])/365,""))</f>
        <v/>
      </c>
      <c r="R70" s="42" t="str">
        <f ca="1">IF(emp_db[[#This Row],[Date of Birth]]&lt;&gt;"",(TODAY()-emp_db[[#This Row],[Date of Birth]])/365,"")</f>
        <v/>
      </c>
      <c r="S70" s="42">
        <f>YEAR(emp_db[[#This Row],[Column1]])</f>
        <v>1900</v>
      </c>
      <c r="T70" s="42">
        <f>MONTH(emp_db[[#This Row],[Column1]])</f>
        <v>1</v>
      </c>
      <c r="U70" s="42">
        <f>IFERROR(YEAR(emp_db[[#This Row],[Exit Date]]),"")</f>
        <v>1900</v>
      </c>
      <c r="V70" s="42">
        <f>IFERROR(MONTH(emp_db[[#This Row],[Exit Date]]),"")</f>
        <v>1</v>
      </c>
    </row>
    <row r="71" spans="2:22">
      <c r="B71" s="39"/>
      <c r="C71" s="39"/>
      <c r="D71" s="39"/>
      <c r="E71" s="39"/>
      <c r="F71" s="40"/>
      <c r="G71" s="38"/>
      <c r="H71" s="43"/>
      <c r="I71" s="43"/>
      <c r="J71" s="39"/>
      <c r="K71" s="38"/>
      <c r="L71" s="39"/>
      <c r="M71" s="39"/>
      <c r="N71" s="43"/>
      <c r="O71" s="38"/>
      <c r="P71" s="38"/>
      <c r="Q71" s="41" t="str">
        <f ca="1">IF(emp_db[[#This Row],[Exit Date]]&lt;&gt;"",(emp_db[[#This Row],[Exit Date]]-emp_db[[#This Row],[Column1]])/365,IF(emp_db[[#This Row],[ID]]&lt;&gt;"",(TODAY()-emp_db[[#This Row],[Column1]])/365,""))</f>
        <v/>
      </c>
      <c r="R71" s="42" t="str">
        <f ca="1">IF(emp_db[[#This Row],[Date of Birth]]&lt;&gt;"",(TODAY()-emp_db[[#This Row],[Date of Birth]])/365,"")</f>
        <v/>
      </c>
      <c r="S71" s="42">
        <f>YEAR(emp_db[[#This Row],[Column1]])</f>
        <v>1900</v>
      </c>
      <c r="T71" s="42">
        <f>MONTH(emp_db[[#This Row],[Column1]])</f>
        <v>1</v>
      </c>
      <c r="U71" s="42">
        <f>IFERROR(YEAR(emp_db[[#This Row],[Exit Date]]),"")</f>
        <v>1900</v>
      </c>
      <c r="V71" s="42">
        <f>IFERROR(MONTH(emp_db[[#This Row],[Exit Date]]),"")</f>
        <v>1</v>
      </c>
    </row>
    <row r="72" spans="2:22">
      <c r="B72" s="39"/>
      <c r="C72" s="39"/>
      <c r="D72" s="39"/>
      <c r="E72" s="39"/>
      <c r="F72" s="40"/>
      <c r="G72" s="38"/>
      <c r="H72" s="43"/>
      <c r="I72" s="43"/>
      <c r="J72" s="39"/>
      <c r="K72" s="38"/>
      <c r="L72" s="39"/>
      <c r="M72" s="39"/>
      <c r="N72" s="43"/>
      <c r="O72" s="38"/>
      <c r="P72" s="38"/>
      <c r="Q72" s="41" t="str">
        <f ca="1">IF(emp_db[[#This Row],[Exit Date]]&lt;&gt;"",(emp_db[[#This Row],[Exit Date]]-emp_db[[#This Row],[Column1]])/365,IF(emp_db[[#This Row],[ID]]&lt;&gt;"",(TODAY()-emp_db[[#This Row],[Column1]])/365,""))</f>
        <v/>
      </c>
      <c r="R72" s="42" t="str">
        <f ca="1">IF(emp_db[[#This Row],[Date of Birth]]&lt;&gt;"",(TODAY()-emp_db[[#This Row],[Date of Birth]])/365,"")</f>
        <v/>
      </c>
      <c r="S72" s="42">
        <f>YEAR(emp_db[[#This Row],[Column1]])</f>
        <v>1900</v>
      </c>
      <c r="T72" s="42">
        <f>MONTH(emp_db[[#This Row],[Column1]])</f>
        <v>1</v>
      </c>
      <c r="U72" s="42">
        <f>IFERROR(YEAR(emp_db[[#This Row],[Exit Date]]),"")</f>
        <v>1900</v>
      </c>
      <c r="V72" s="42">
        <f>IFERROR(MONTH(emp_db[[#This Row],[Exit Date]]),"")</f>
        <v>1</v>
      </c>
    </row>
    <row r="73" spans="2:22">
      <c r="B73" s="39"/>
      <c r="C73" s="39"/>
      <c r="D73" s="39"/>
      <c r="E73" s="39"/>
      <c r="F73" s="40"/>
      <c r="G73" s="38"/>
      <c r="H73" s="43"/>
      <c r="I73" s="43"/>
      <c r="J73" s="39"/>
      <c r="K73" s="38"/>
      <c r="L73" s="39"/>
      <c r="M73" s="39"/>
      <c r="N73" s="43"/>
      <c r="O73" s="38"/>
      <c r="P73" s="38"/>
      <c r="Q73" s="41" t="str">
        <f ca="1">IF(emp_db[[#This Row],[Exit Date]]&lt;&gt;"",(emp_db[[#This Row],[Exit Date]]-emp_db[[#This Row],[Column1]])/365,IF(emp_db[[#This Row],[ID]]&lt;&gt;"",(TODAY()-emp_db[[#This Row],[Column1]])/365,""))</f>
        <v/>
      </c>
      <c r="R73" s="42" t="str">
        <f ca="1">IF(emp_db[[#This Row],[Date of Birth]]&lt;&gt;"",(TODAY()-emp_db[[#This Row],[Date of Birth]])/365,"")</f>
        <v/>
      </c>
      <c r="S73" s="42">
        <f>YEAR(emp_db[[#This Row],[Column1]])</f>
        <v>1900</v>
      </c>
      <c r="T73" s="42">
        <f>MONTH(emp_db[[#This Row],[Column1]])</f>
        <v>1</v>
      </c>
      <c r="U73" s="42">
        <f>IFERROR(YEAR(emp_db[[#This Row],[Exit Date]]),"")</f>
        <v>1900</v>
      </c>
      <c r="V73" s="42">
        <f>IFERROR(MONTH(emp_db[[#This Row],[Exit Date]]),"")</f>
        <v>1</v>
      </c>
    </row>
    <row r="74" spans="2:22">
      <c r="B74" s="39"/>
      <c r="C74" s="39"/>
      <c r="D74" s="39"/>
      <c r="E74" s="39"/>
      <c r="F74" s="40"/>
      <c r="G74" s="38"/>
      <c r="H74" s="43"/>
      <c r="I74" s="43"/>
      <c r="J74" s="39"/>
      <c r="K74" s="38"/>
      <c r="L74" s="39"/>
      <c r="M74" s="39"/>
      <c r="N74" s="43"/>
      <c r="O74" s="38"/>
      <c r="P74" s="38"/>
      <c r="Q74" s="41" t="str">
        <f ca="1">IF(emp_db[[#This Row],[Exit Date]]&lt;&gt;"",(emp_db[[#This Row],[Exit Date]]-emp_db[[#This Row],[Column1]])/365,IF(emp_db[[#This Row],[ID]]&lt;&gt;"",(TODAY()-emp_db[[#This Row],[Column1]])/365,""))</f>
        <v/>
      </c>
      <c r="R74" s="42" t="str">
        <f ca="1">IF(emp_db[[#This Row],[Date of Birth]]&lt;&gt;"",(TODAY()-emp_db[[#This Row],[Date of Birth]])/365,"")</f>
        <v/>
      </c>
      <c r="S74" s="42">
        <f>YEAR(emp_db[[#This Row],[Column1]])</f>
        <v>1900</v>
      </c>
      <c r="T74" s="42">
        <f>MONTH(emp_db[[#This Row],[Column1]])</f>
        <v>1</v>
      </c>
      <c r="U74" s="42">
        <f>IFERROR(YEAR(emp_db[[#This Row],[Exit Date]]),"")</f>
        <v>1900</v>
      </c>
      <c r="V74" s="42">
        <f>IFERROR(MONTH(emp_db[[#This Row],[Exit Date]]),"")</f>
        <v>1</v>
      </c>
    </row>
    <row r="75" spans="2:22">
      <c r="B75" s="39"/>
      <c r="C75" s="39"/>
      <c r="D75" s="39"/>
      <c r="E75" s="39"/>
      <c r="F75" s="40"/>
      <c r="G75" s="38"/>
      <c r="H75" s="43"/>
      <c r="I75" s="43"/>
      <c r="J75" s="39"/>
      <c r="K75" s="38"/>
      <c r="L75" s="39"/>
      <c r="M75" s="39"/>
      <c r="N75" s="43"/>
      <c r="O75" s="38"/>
      <c r="P75" s="38"/>
      <c r="Q75" s="41" t="str">
        <f ca="1">IF(emp_db[[#This Row],[Exit Date]]&lt;&gt;"",(emp_db[[#This Row],[Exit Date]]-emp_db[[#This Row],[Column1]])/365,IF(emp_db[[#This Row],[ID]]&lt;&gt;"",(TODAY()-emp_db[[#This Row],[Column1]])/365,""))</f>
        <v/>
      </c>
      <c r="R75" s="42" t="str">
        <f ca="1">IF(emp_db[[#This Row],[Date of Birth]]&lt;&gt;"",(TODAY()-emp_db[[#This Row],[Date of Birth]])/365,"")</f>
        <v/>
      </c>
      <c r="S75" s="42">
        <f>YEAR(emp_db[[#This Row],[Column1]])</f>
        <v>1900</v>
      </c>
      <c r="T75" s="42">
        <f>MONTH(emp_db[[#This Row],[Column1]])</f>
        <v>1</v>
      </c>
      <c r="U75" s="42">
        <f>IFERROR(YEAR(emp_db[[#This Row],[Exit Date]]),"")</f>
        <v>1900</v>
      </c>
      <c r="V75" s="42">
        <f>IFERROR(MONTH(emp_db[[#This Row],[Exit Date]]),"")</f>
        <v>1</v>
      </c>
    </row>
    <row r="76" spans="2:22">
      <c r="B76" s="39"/>
      <c r="C76" s="39"/>
      <c r="D76" s="39"/>
      <c r="E76" s="39"/>
      <c r="F76" s="40"/>
      <c r="G76" s="38"/>
      <c r="H76" s="43"/>
      <c r="I76" s="43"/>
      <c r="J76" s="39"/>
      <c r="K76" s="38"/>
      <c r="L76" s="39"/>
      <c r="M76" s="39"/>
      <c r="N76" s="43"/>
      <c r="O76" s="38"/>
      <c r="P76" s="38"/>
      <c r="Q76" s="41" t="str">
        <f ca="1">IF(emp_db[[#This Row],[Exit Date]]&lt;&gt;"",(emp_db[[#This Row],[Exit Date]]-emp_db[[#This Row],[Column1]])/365,IF(emp_db[[#This Row],[ID]]&lt;&gt;"",(TODAY()-emp_db[[#This Row],[Column1]])/365,""))</f>
        <v/>
      </c>
      <c r="R76" s="42" t="str">
        <f ca="1">IF(emp_db[[#This Row],[Date of Birth]]&lt;&gt;"",(TODAY()-emp_db[[#This Row],[Date of Birth]])/365,"")</f>
        <v/>
      </c>
      <c r="S76" s="42">
        <f>YEAR(emp_db[[#This Row],[Column1]])</f>
        <v>1900</v>
      </c>
      <c r="T76" s="42">
        <f>MONTH(emp_db[[#This Row],[Column1]])</f>
        <v>1</v>
      </c>
      <c r="U76" s="42">
        <f>IFERROR(YEAR(emp_db[[#This Row],[Exit Date]]),"")</f>
        <v>1900</v>
      </c>
      <c r="V76" s="42">
        <f>IFERROR(MONTH(emp_db[[#This Row],[Exit Date]]),"")</f>
        <v>1</v>
      </c>
    </row>
    <row r="77" spans="2:22">
      <c r="B77" s="39"/>
      <c r="C77" s="39"/>
      <c r="D77" s="39"/>
      <c r="E77" s="39"/>
      <c r="F77" s="40"/>
      <c r="G77" s="38"/>
      <c r="H77" s="43"/>
      <c r="I77" s="43"/>
      <c r="J77" s="39"/>
      <c r="K77" s="38"/>
      <c r="L77" s="39"/>
      <c r="M77" s="39"/>
      <c r="N77" s="43"/>
      <c r="O77" s="38"/>
      <c r="P77" s="38"/>
      <c r="Q77" s="41" t="str">
        <f ca="1">IF(emp_db[[#This Row],[Exit Date]]&lt;&gt;"",(emp_db[[#This Row],[Exit Date]]-emp_db[[#This Row],[Column1]])/365,IF(emp_db[[#This Row],[ID]]&lt;&gt;"",(TODAY()-emp_db[[#This Row],[Column1]])/365,""))</f>
        <v/>
      </c>
      <c r="R77" s="42" t="str">
        <f ca="1">IF(emp_db[[#This Row],[Date of Birth]]&lt;&gt;"",(TODAY()-emp_db[[#This Row],[Date of Birth]])/365,"")</f>
        <v/>
      </c>
      <c r="S77" s="42">
        <f>YEAR(emp_db[[#This Row],[Column1]])</f>
        <v>1900</v>
      </c>
      <c r="T77" s="42">
        <f>MONTH(emp_db[[#This Row],[Column1]])</f>
        <v>1</v>
      </c>
      <c r="U77" s="42">
        <f>IFERROR(YEAR(emp_db[[#This Row],[Exit Date]]),"")</f>
        <v>1900</v>
      </c>
      <c r="V77" s="42">
        <f>IFERROR(MONTH(emp_db[[#This Row],[Exit Date]]),"")</f>
        <v>1</v>
      </c>
    </row>
    <row r="78" spans="2:22">
      <c r="B78" s="39"/>
      <c r="C78" s="39"/>
      <c r="D78" s="39"/>
      <c r="E78" s="39"/>
      <c r="F78" s="40"/>
      <c r="G78" s="38"/>
      <c r="H78" s="43"/>
      <c r="I78" s="43"/>
      <c r="J78" s="39"/>
      <c r="K78" s="38"/>
      <c r="L78" s="39"/>
      <c r="M78" s="39"/>
      <c r="N78" s="43"/>
      <c r="O78" s="38"/>
      <c r="P78" s="38"/>
      <c r="Q78" s="41" t="str">
        <f ca="1">IF(emp_db[[#This Row],[Exit Date]]&lt;&gt;"",(emp_db[[#This Row],[Exit Date]]-emp_db[[#This Row],[Column1]])/365,IF(emp_db[[#This Row],[ID]]&lt;&gt;"",(TODAY()-emp_db[[#This Row],[Column1]])/365,""))</f>
        <v/>
      </c>
      <c r="R78" s="42" t="str">
        <f ca="1">IF(emp_db[[#This Row],[Date of Birth]]&lt;&gt;"",(TODAY()-emp_db[[#This Row],[Date of Birth]])/365,"")</f>
        <v/>
      </c>
      <c r="S78" s="42">
        <f>YEAR(emp_db[[#This Row],[Column1]])</f>
        <v>1900</v>
      </c>
      <c r="T78" s="42">
        <f>MONTH(emp_db[[#This Row],[Column1]])</f>
        <v>1</v>
      </c>
      <c r="U78" s="42">
        <f>IFERROR(YEAR(emp_db[[#This Row],[Exit Date]]),"")</f>
        <v>1900</v>
      </c>
      <c r="V78" s="42">
        <f>IFERROR(MONTH(emp_db[[#This Row],[Exit Date]]),"")</f>
        <v>1</v>
      </c>
    </row>
    <row r="79" spans="2:22">
      <c r="B79" s="39"/>
      <c r="C79" s="39"/>
      <c r="D79" s="39"/>
      <c r="E79" s="39"/>
      <c r="F79" s="40"/>
      <c r="G79" s="38"/>
      <c r="H79" s="43"/>
      <c r="I79" s="43"/>
      <c r="J79" s="39"/>
      <c r="K79" s="38"/>
      <c r="L79" s="39"/>
      <c r="M79" s="39"/>
      <c r="N79" s="43"/>
      <c r="O79" s="38"/>
      <c r="P79" s="38"/>
      <c r="Q79" s="41" t="str">
        <f ca="1">IF(emp_db[[#This Row],[Exit Date]]&lt;&gt;"",(emp_db[[#This Row],[Exit Date]]-emp_db[[#This Row],[Column1]])/365,IF(emp_db[[#This Row],[ID]]&lt;&gt;"",(TODAY()-emp_db[[#This Row],[Column1]])/365,""))</f>
        <v/>
      </c>
      <c r="R79" s="42" t="str">
        <f ca="1">IF(emp_db[[#This Row],[Date of Birth]]&lt;&gt;"",(TODAY()-emp_db[[#This Row],[Date of Birth]])/365,"")</f>
        <v/>
      </c>
      <c r="S79" s="42">
        <f>YEAR(emp_db[[#This Row],[Column1]])</f>
        <v>1900</v>
      </c>
      <c r="T79" s="42">
        <f>MONTH(emp_db[[#This Row],[Column1]])</f>
        <v>1</v>
      </c>
      <c r="U79" s="42">
        <f>IFERROR(YEAR(emp_db[[#This Row],[Exit Date]]),"")</f>
        <v>1900</v>
      </c>
      <c r="V79" s="42">
        <f>IFERROR(MONTH(emp_db[[#This Row],[Exit Date]]),"")</f>
        <v>1</v>
      </c>
    </row>
    <row r="80" spans="2:22">
      <c r="B80" s="39"/>
      <c r="C80" s="39"/>
      <c r="D80" s="39"/>
      <c r="E80" s="39"/>
      <c r="F80" s="40"/>
      <c r="G80" s="38"/>
      <c r="H80" s="43"/>
      <c r="I80" s="43"/>
      <c r="J80" s="39"/>
      <c r="K80" s="38"/>
      <c r="L80" s="39"/>
      <c r="M80" s="39"/>
      <c r="N80" s="43"/>
      <c r="O80" s="38"/>
      <c r="P80" s="38"/>
      <c r="Q80" s="41" t="str">
        <f ca="1">IF(emp_db[[#This Row],[Exit Date]]&lt;&gt;"",(emp_db[[#This Row],[Exit Date]]-emp_db[[#This Row],[Column1]])/365,IF(emp_db[[#This Row],[ID]]&lt;&gt;"",(TODAY()-emp_db[[#This Row],[Column1]])/365,""))</f>
        <v/>
      </c>
      <c r="R80" s="42" t="str">
        <f ca="1">IF(emp_db[[#This Row],[Date of Birth]]&lt;&gt;"",(TODAY()-emp_db[[#This Row],[Date of Birth]])/365,"")</f>
        <v/>
      </c>
      <c r="S80" s="42">
        <f>YEAR(emp_db[[#This Row],[Column1]])</f>
        <v>1900</v>
      </c>
      <c r="T80" s="42">
        <f>MONTH(emp_db[[#This Row],[Column1]])</f>
        <v>1</v>
      </c>
      <c r="U80" s="42">
        <f>IFERROR(YEAR(emp_db[[#This Row],[Exit Date]]),"")</f>
        <v>1900</v>
      </c>
      <c r="V80" s="42">
        <f>IFERROR(MONTH(emp_db[[#This Row],[Exit Date]]),"")</f>
        <v>1</v>
      </c>
    </row>
    <row r="81" spans="2:22">
      <c r="B81" s="39"/>
      <c r="C81" s="39"/>
      <c r="D81" s="39"/>
      <c r="E81" s="39"/>
      <c r="F81" s="40"/>
      <c r="G81" s="38"/>
      <c r="H81" s="43"/>
      <c r="I81" s="43"/>
      <c r="J81" s="39"/>
      <c r="K81" s="38"/>
      <c r="L81" s="39"/>
      <c r="M81" s="39"/>
      <c r="N81" s="43"/>
      <c r="O81" s="38"/>
      <c r="P81" s="38"/>
      <c r="Q81" s="41" t="str">
        <f ca="1">IF(emp_db[[#This Row],[Exit Date]]&lt;&gt;"",(emp_db[[#This Row],[Exit Date]]-emp_db[[#This Row],[Column1]])/365,IF(emp_db[[#This Row],[ID]]&lt;&gt;"",(TODAY()-emp_db[[#This Row],[Column1]])/365,""))</f>
        <v/>
      </c>
      <c r="R81" s="42" t="str">
        <f ca="1">IF(emp_db[[#This Row],[Date of Birth]]&lt;&gt;"",(TODAY()-emp_db[[#This Row],[Date of Birth]])/365,"")</f>
        <v/>
      </c>
      <c r="S81" s="42">
        <f>YEAR(emp_db[[#This Row],[Column1]])</f>
        <v>1900</v>
      </c>
      <c r="T81" s="42">
        <f>MONTH(emp_db[[#This Row],[Column1]])</f>
        <v>1</v>
      </c>
      <c r="U81" s="42">
        <f>IFERROR(YEAR(emp_db[[#This Row],[Exit Date]]),"")</f>
        <v>1900</v>
      </c>
      <c r="V81" s="42">
        <f>IFERROR(MONTH(emp_db[[#This Row],[Exit Date]]),"")</f>
        <v>1</v>
      </c>
    </row>
    <row r="82" spans="2:22">
      <c r="B82" s="39"/>
      <c r="C82" s="39"/>
      <c r="D82" s="39"/>
      <c r="E82" s="39"/>
      <c r="F82" s="40"/>
      <c r="G82" s="38"/>
      <c r="H82" s="43"/>
      <c r="I82" s="43"/>
      <c r="J82" s="39"/>
      <c r="K82" s="38"/>
      <c r="L82" s="39"/>
      <c r="M82" s="39"/>
      <c r="N82" s="43"/>
      <c r="O82" s="38"/>
      <c r="P82" s="38"/>
      <c r="Q82" s="41" t="str">
        <f ca="1">IF(emp_db[[#This Row],[Exit Date]]&lt;&gt;"",(emp_db[[#This Row],[Exit Date]]-emp_db[[#This Row],[Column1]])/365,IF(emp_db[[#This Row],[ID]]&lt;&gt;"",(TODAY()-emp_db[[#This Row],[Column1]])/365,""))</f>
        <v/>
      </c>
      <c r="R82" s="42" t="str">
        <f ca="1">IF(emp_db[[#This Row],[Date of Birth]]&lt;&gt;"",(TODAY()-emp_db[[#This Row],[Date of Birth]])/365,"")</f>
        <v/>
      </c>
      <c r="S82" s="42">
        <f>YEAR(emp_db[[#This Row],[Column1]])</f>
        <v>1900</v>
      </c>
      <c r="T82" s="42">
        <f>MONTH(emp_db[[#This Row],[Column1]])</f>
        <v>1</v>
      </c>
      <c r="U82" s="42">
        <f>IFERROR(YEAR(emp_db[[#This Row],[Exit Date]]),"")</f>
        <v>1900</v>
      </c>
      <c r="V82" s="42">
        <f>IFERROR(MONTH(emp_db[[#This Row],[Exit Date]]),"")</f>
        <v>1</v>
      </c>
    </row>
    <row r="83" spans="2:22">
      <c r="B83" s="39"/>
      <c r="C83" s="39"/>
      <c r="D83" s="39"/>
      <c r="E83" s="39"/>
      <c r="F83" s="40"/>
      <c r="G83" s="38"/>
      <c r="H83" s="43"/>
      <c r="I83" s="43"/>
      <c r="J83" s="39"/>
      <c r="K83" s="38"/>
      <c r="L83" s="39"/>
      <c r="M83" s="39"/>
      <c r="N83" s="43"/>
      <c r="O83" s="38"/>
      <c r="P83" s="38"/>
      <c r="Q83" s="41" t="str">
        <f ca="1">IF(emp_db[[#This Row],[Exit Date]]&lt;&gt;"",(emp_db[[#This Row],[Exit Date]]-emp_db[[#This Row],[Column1]])/365,IF(emp_db[[#This Row],[ID]]&lt;&gt;"",(TODAY()-emp_db[[#This Row],[Column1]])/365,""))</f>
        <v/>
      </c>
      <c r="R83" s="42" t="str">
        <f ca="1">IF(emp_db[[#This Row],[Date of Birth]]&lt;&gt;"",(TODAY()-emp_db[[#This Row],[Date of Birth]])/365,"")</f>
        <v/>
      </c>
      <c r="S83" s="42">
        <f>YEAR(emp_db[[#This Row],[Column1]])</f>
        <v>1900</v>
      </c>
      <c r="T83" s="42">
        <f>MONTH(emp_db[[#This Row],[Column1]])</f>
        <v>1</v>
      </c>
      <c r="U83" s="42">
        <f>IFERROR(YEAR(emp_db[[#This Row],[Exit Date]]),"")</f>
        <v>1900</v>
      </c>
      <c r="V83" s="42">
        <f>IFERROR(MONTH(emp_db[[#This Row],[Exit Date]]),"")</f>
        <v>1</v>
      </c>
    </row>
    <row r="84" spans="2:22">
      <c r="B84" s="39"/>
      <c r="C84" s="39"/>
      <c r="D84" s="39"/>
      <c r="E84" s="39"/>
      <c r="F84" s="40"/>
      <c r="G84" s="38"/>
      <c r="H84" s="43"/>
      <c r="I84" s="43"/>
      <c r="J84" s="39"/>
      <c r="K84" s="38"/>
      <c r="L84" s="39"/>
      <c r="M84" s="39"/>
      <c r="N84" s="43"/>
      <c r="O84" s="38"/>
      <c r="P84" s="38"/>
      <c r="Q84" s="41" t="str">
        <f ca="1">IF(emp_db[[#This Row],[Exit Date]]&lt;&gt;"",(emp_db[[#This Row],[Exit Date]]-emp_db[[#This Row],[Column1]])/365,IF(emp_db[[#This Row],[ID]]&lt;&gt;"",(TODAY()-emp_db[[#This Row],[Column1]])/365,""))</f>
        <v/>
      </c>
      <c r="R84" s="42" t="str">
        <f ca="1">IF(emp_db[[#This Row],[Date of Birth]]&lt;&gt;"",(TODAY()-emp_db[[#This Row],[Date of Birth]])/365,"")</f>
        <v/>
      </c>
      <c r="S84" s="42">
        <f>YEAR(emp_db[[#This Row],[Column1]])</f>
        <v>1900</v>
      </c>
      <c r="T84" s="42">
        <f>MONTH(emp_db[[#This Row],[Column1]])</f>
        <v>1</v>
      </c>
      <c r="U84" s="42">
        <f>IFERROR(YEAR(emp_db[[#This Row],[Exit Date]]),"")</f>
        <v>1900</v>
      </c>
      <c r="V84" s="42">
        <f>IFERROR(MONTH(emp_db[[#This Row],[Exit Date]]),"")</f>
        <v>1</v>
      </c>
    </row>
    <row r="85" spans="2:22">
      <c r="B85" s="39"/>
      <c r="C85" s="39"/>
      <c r="D85" s="39"/>
      <c r="E85" s="39"/>
      <c r="F85" s="40"/>
      <c r="G85" s="38"/>
      <c r="H85" s="43"/>
      <c r="I85" s="43"/>
      <c r="J85" s="39"/>
      <c r="K85" s="38"/>
      <c r="L85" s="39"/>
      <c r="M85" s="39"/>
      <c r="N85" s="43"/>
      <c r="O85" s="38"/>
      <c r="P85" s="38"/>
      <c r="Q85" s="41" t="str">
        <f ca="1">IF(emp_db[[#This Row],[Exit Date]]&lt;&gt;"",(emp_db[[#This Row],[Exit Date]]-emp_db[[#This Row],[Column1]])/365,IF(emp_db[[#This Row],[ID]]&lt;&gt;"",(TODAY()-emp_db[[#This Row],[Column1]])/365,""))</f>
        <v/>
      </c>
      <c r="R85" s="42" t="str">
        <f ca="1">IF(emp_db[[#This Row],[Date of Birth]]&lt;&gt;"",(TODAY()-emp_db[[#This Row],[Date of Birth]])/365,"")</f>
        <v/>
      </c>
      <c r="S85" s="42">
        <f>YEAR(emp_db[[#This Row],[Column1]])</f>
        <v>1900</v>
      </c>
      <c r="T85" s="42">
        <f>MONTH(emp_db[[#This Row],[Column1]])</f>
        <v>1</v>
      </c>
      <c r="U85" s="42">
        <f>IFERROR(YEAR(emp_db[[#This Row],[Exit Date]]),"")</f>
        <v>1900</v>
      </c>
      <c r="V85" s="42">
        <f>IFERROR(MONTH(emp_db[[#This Row],[Exit Date]]),"")</f>
        <v>1</v>
      </c>
    </row>
    <row r="86" spans="2:22">
      <c r="B86" s="39"/>
      <c r="C86" s="39"/>
      <c r="D86" s="39"/>
      <c r="E86" s="39"/>
      <c r="F86" s="40"/>
      <c r="G86" s="38"/>
      <c r="H86" s="43"/>
      <c r="I86" s="43"/>
      <c r="J86" s="39"/>
      <c r="K86" s="38"/>
      <c r="L86" s="39"/>
      <c r="M86" s="39"/>
      <c r="N86" s="43"/>
      <c r="O86" s="38"/>
      <c r="P86" s="38"/>
      <c r="Q86" s="41" t="str">
        <f ca="1">IF(emp_db[[#This Row],[Exit Date]]&lt;&gt;"",(emp_db[[#This Row],[Exit Date]]-emp_db[[#This Row],[Column1]])/365,IF(emp_db[[#This Row],[ID]]&lt;&gt;"",(TODAY()-emp_db[[#This Row],[Column1]])/365,""))</f>
        <v/>
      </c>
      <c r="R86" s="42" t="str">
        <f ca="1">IF(emp_db[[#This Row],[Date of Birth]]&lt;&gt;"",(TODAY()-emp_db[[#This Row],[Date of Birth]])/365,"")</f>
        <v/>
      </c>
      <c r="S86" s="42">
        <f>YEAR(emp_db[[#This Row],[Column1]])</f>
        <v>1900</v>
      </c>
      <c r="T86" s="42">
        <f>MONTH(emp_db[[#This Row],[Column1]])</f>
        <v>1</v>
      </c>
      <c r="U86" s="42">
        <f>IFERROR(YEAR(emp_db[[#This Row],[Exit Date]]),"")</f>
        <v>1900</v>
      </c>
      <c r="V86" s="42">
        <f>IFERROR(MONTH(emp_db[[#This Row],[Exit Date]]),"")</f>
        <v>1</v>
      </c>
    </row>
    <row r="87" spans="2:22">
      <c r="B87" s="39"/>
      <c r="C87" s="39"/>
      <c r="D87" s="39"/>
      <c r="E87" s="39"/>
      <c r="F87" s="40"/>
      <c r="G87" s="38"/>
      <c r="H87" s="43"/>
      <c r="I87" s="43"/>
      <c r="J87" s="39"/>
      <c r="K87" s="38"/>
      <c r="L87" s="39"/>
      <c r="M87" s="39"/>
      <c r="N87" s="43"/>
      <c r="O87" s="38"/>
      <c r="P87" s="38"/>
      <c r="Q87" s="41" t="str">
        <f ca="1">IF(emp_db[[#This Row],[Exit Date]]&lt;&gt;"",(emp_db[[#This Row],[Exit Date]]-emp_db[[#This Row],[Column1]])/365,IF(emp_db[[#This Row],[ID]]&lt;&gt;"",(TODAY()-emp_db[[#This Row],[Column1]])/365,""))</f>
        <v/>
      </c>
      <c r="R87" s="42" t="str">
        <f ca="1">IF(emp_db[[#This Row],[Date of Birth]]&lt;&gt;"",(TODAY()-emp_db[[#This Row],[Date of Birth]])/365,"")</f>
        <v/>
      </c>
      <c r="S87" s="42">
        <f>YEAR(emp_db[[#This Row],[Column1]])</f>
        <v>1900</v>
      </c>
      <c r="T87" s="42">
        <f>MONTH(emp_db[[#This Row],[Column1]])</f>
        <v>1</v>
      </c>
      <c r="U87" s="42">
        <f>IFERROR(YEAR(emp_db[[#This Row],[Exit Date]]),"")</f>
        <v>1900</v>
      </c>
      <c r="V87" s="42">
        <f>IFERROR(MONTH(emp_db[[#This Row],[Exit Date]]),"")</f>
        <v>1</v>
      </c>
    </row>
    <row r="88" spans="2:22">
      <c r="B88" s="39"/>
      <c r="C88" s="39"/>
      <c r="D88" s="39"/>
      <c r="E88" s="39"/>
      <c r="F88" s="40"/>
      <c r="G88" s="38"/>
      <c r="H88" s="43"/>
      <c r="I88" s="43"/>
      <c r="J88" s="39"/>
      <c r="K88" s="38"/>
      <c r="L88" s="39"/>
      <c r="M88" s="39"/>
      <c r="N88" s="43"/>
      <c r="O88" s="38"/>
      <c r="P88" s="38"/>
      <c r="Q88" s="41" t="str">
        <f ca="1">IF(emp_db[[#This Row],[Exit Date]]&lt;&gt;"",(emp_db[[#This Row],[Exit Date]]-emp_db[[#This Row],[Column1]])/365,IF(emp_db[[#This Row],[ID]]&lt;&gt;"",(TODAY()-emp_db[[#This Row],[Column1]])/365,""))</f>
        <v/>
      </c>
      <c r="R88" s="42" t="str">
        <f ca="1">IF(emp_db[[#This Row],[Date of Birth]]&lt;&gt;"",(TODAY()-emp_db[[#This Row],[Date of Birth]])/365,"")</f>
        <v/>
      </c>
      <c r="S88" s="42">
        <f>YEAR(emp_db[[#This Row],[Column1]])</f>
        <v>1900</v>
      </c>
      <c r="T88" s="42">
        <f>MONTH(emp_db[[#This Row],[Column1]])</f>
        <v>1</v>
      </c>
      <c r="U88" s="42">
        <f>IFERROR(YEAR(emp_db[[#This Row],[Exit Date]]),"")</f>
        <v>1900</v>
      </c>
      <c r="V88" s="42">
        <f>IFERROR(MONTH(emp_db[[#This Row],[Exit Date]]),"")</f>
        <v>1</v>
      </c>
    </row>
    <row r="89" spans="2:22">
      <c r="B89" s="39"/>
      <c r="C89" s="39"/>
      <c r="D89" s="39"/>
      <c r="E89" s="39"/>
      <c r="F89" s="40"/>
      <c r="G89" s="38"/>
      <c r="H89" s="43"/>
      <c r="I89" s="43"/>
      <c r="J89" s="39"/>
      <c r="K89" s="38"/>
      <c r="L89" s="39"/>
      <c r="M89" s="39"/>
      <c r="N89" s="43"/>
      <c r="O89" s="38"/>
      <c r="P89" s="38"/>
      <c r="Q89" s="41" t="str">
        <f ca="1">IF(emp_db[[#This Row],[Exit Date]]&lt;&gt;"",(emp_db[[#This Row],[Exit Date]]-emp_db[[#This Row],[Column1]])/365,IF(emp_db[[#This Row],[ID]]&lt;&gt;"",(TODAY()-emp_db[[#This Row],[Column1]])/365,""))</f>
        <v/>
      </c>
      <c r="R89" s="42" t="str">
        <f ca="1">IF(emp_db[[#This Row],[Date of Birth]]&lt;&gt;"",(TODAY()-emp_db[[#This Row],[Date of Birth]])/365,"")</f>
        <v/>
      </c>
      <c r="S89" s="42">
        <f>YEAR(emp_db[[#This Row],[Column1]])</f>
        <v>1900</v>
      </c>
      <c r="T89" s="42">
        <f>MONTH(emp_db[[#This Row],[Column1]])</f>
        <v>1</v>
      </c>
      <c r="U89" s="42">
        <f>IFERROR(YEAR(emp_db[[#This Row],[Exit Date]]),"")</f>
        <v>1900</v>
      </c>
      <c r="V89" s="42">
        <f>IFERROR(MONTH(emp_db[[#This Row],[Exit Date]]),"")</f>
        <v>1</v>
      </c>
    </row>
    <row r="90" spans="2:22">
      <c r="B90" s="39"/>
      <c r="C90" s="39"/>
      <c r="D90" s="39"/>
      <c r="E90" s="39"/>
      <c r="F90" s="40"/>
      <c r="G90" s="38"/>
      <c r="H90" s="43"/>
      <c r="I90" s="43"/>
      <c r="J90" s="39"/>
      <c r="K90" s="38"/>
      <c r="L90" s="39"/>
      <c r="M90" s="39"/>
      <c r="N90" s="43"/>
      <c r="O90" s="38"/>
      <c r="P90" s="38"/>
      <c r="Q90" s="41" t="str">
        <f ca="1">IF(emp_db[[#This Row],[Exit Date]]&lt;&gt;"",(emp_db[[#This Row],[Exit Date]]-emp_db[[#This Row],[Column1]])/365,IF(emp_db[[#This Row],[ID]]&lt;&gt;"",(TODAY()-emp_db[[#This Row],[Column1]])/365,""))</f>
        <v/>
      </c>
      <c r="R90" s="42" t="str">
        <f ca="1">IF(emp_db[[#This Row],[Date of Birth]]&lt;&gt;"",(TODAY()-emp_db[[#This Row],[Date of Birth]])/365,"")</f>
        <v/>
      </c>
      <c r="S90" s="42">
        <f>YEAR(emp_db[[#This Row],[Column1]])</f>
        <v>1900</v>
      </c>
      <c r="T90" s="42">
        <f>MONTH(emp_db[[#This Row],[Column1]])</f>
        <v>1</v>
      </c>
      <c r="U90" s="42">
        <f>IFERROR(YEAR(emp_db[[#This Row],[Exit Date]]),"")</f>
        <v>1900</v>
      </c>
      <c r="V90" s="42">
        <f>IFERROR(MONTH(emp_db[[#This Row],[Exit Date]]),"")</f>
        <v>1</v>
      </c>
    </row>
    <row r="91" spans="2:22">
      <c r="B91" s="39"/>
      <c r="C91" s="39"/>
      <c r="D91" s="39"/>
      <c r="E91" s="39"/>
      <c r="F91" s="40"/>
      <c r="G91" s="38"/>
      <c r="H91" s="43"/>
      <c r="I91" s="43"/>
      <c r="J91" s="39"/>
      <c r="K91" s="38"/>
      <c r="L91" s="39"/>
      <c r="M91" s="39"/>
      <c r="N91" s="43"/>
      <c r="O91" s="38"/>
      <c r="P91" s="38"/>
      <c r="Q91" s="41" t="str">
        <f ca="1">IF(emp_db[[#This Row],[Exit Date]]&lt;&gt;"",(emp_db[[#This Row],[Exit Date]]-emp_db[[#This Row],[Column1]])/365,IF(emp_db[[#This Row],[ID]]&lt;&gt;"",(TODAY()-emp_db[[#This Row],[Column1]])/365,""))</f>
        <v/>
      </c>
      <c r="R91" s="42" t="str">
        <f ca="1">IF(emp_db[[#This Row],[Date of Birth]]&lt;&gt;"",(TODAY()-emp_db[[#This Row],[Date of Birth]])/365,"")</f>
        <v/>
      </c>
      <c r="S91" s="42">
        <f>YEAR(emp_db[[#This Row],[Column1]])</f>
        <v>1900</v>
      </c>
      <c r="T91" s="42">
        <f>MONTH(emp_db[[#This Row],[Column1]])</f>
        <v>1</v>
      </c>
      <c r="U91" s="42">
        <f>IFERROR(YEAR(emp_db[[#This Row],[Exit Date]]),"")</f>
        <v>1900</v>
      </c>
      <c r="V91" s="42">
        <f>IFERROR(MONTH(emp_db[[#This Row],[Exit Date]]),"")</f>
        <v>1</v>
      </c>
    </row>
    <row r="92" spans="2:22">
      <c r="B92" s="39"/>
      <c r="C92" s="39"/>
      <c r="D92" s="39"/>
      <c r="E92" s="39"/>
      <c r="F92" s="40"/>
      <c r="G92" s="38"/>
      <c r="H92" s="43"/>
      <c r="I92" s="43"/>
      <c r="J92" s="39"/>
      <c r="K92" s="38"/>
      <c r="L92" s="39"/>
      <c r="M92" s="39"/>
      <c r="N92" s="43"/>
      <c r="O92" s="38"/>
      <c r="P92" s="38"/>
      <c r="Q92" s="41" t="str">
        <f ca="1">IF(emp_db[[#This Row],[Exit Date]]&lt;&gt;"",(emp_db[[#This Row],[Exit Date]]-emp_db[[#This Row],[Column1]])/365,IF(emp_db[[#This Row],[ID]]&lt;&gt;"",(TODAY()-emp_db[[#This Row],[Column1]])/365,""))</f>
        <v/>
      </c>
      <c r="R92" s="42" t="str">
        <f ca="1">IF(emp_db[[#This Row],[Date of Birth]]&lt;&gt;"",(TODAY()-emp_db[[#This Row],[Date of Birth]])/365,"")</f>
        <v/>
      </c>
      <c r="S92" s="42">
        <f>YEAR(emp_db[[#This Row],[Column1]])</f>
        <v>1900</v>
      </c>
      <c r="T92" s="42">
        <f>MONTH(emp_db[[#This Row],[Column1]])</f>
        <v>1</v>
      </c>
      <c r="U92" s="42">
        <f>IFERROR(YEAR(emp_db[[#This Row],[Exit Date]]),"")</f>
        <v>1900</v>
      </c>
      <c r="V92" s="42">
        <f>IFERROR(MONTH(emp_db[[#This Row],[Exit Date]]),"")</f>
        <v>1</v>
      </c>
    </row>
    <row r="93" spans="2:22">
      <c r="B93" s="39"/>
      <c r="C93" s="39"/>
      <c r="D93" s="39"/>
      <c r="E93" s="39"/>
      <c r="F93" s="40"/>
      <c r="G93" s="38"/>
      <c r="H93" s="43"/>
      <c r="I93" s="43"/>
      <c r="J93" s="39"/>
      <c r="K93" s="38"/>
      <c r="L93" s="39"/>
      <c r="M93" s="39"/>
      <c r="N93" s="43"/>
      <c r="O93" s="38"/>
      <c r="P93" s="38"/>
      <c r="Q93" s="41" t="str">
        <f ca="1">IF(emp_db[[#This Row],[Exit Date]]&lt;&gt;"",(emp_db[[#This Row],[Exit Date]]-emp_db[[#This Row],[Column1]])/365,IF(emp_db[[#This Row],[ID]]&lt;&gt;"",(TODAY()-emp_db[[#This Row],[Column1]])/365,""))</f>
        <v/>
      </c>
      <c r="R93" s="42" t="str">
        <f ca="1">IF(emp_db[[#This Row],[Date of Birth]]&lt;&gt;"",(TODAY()-emp_db[[#This Row],[Date of Birth]])/365,"")</f>
        <v/>
      </c>
      <c r="S93" s="42">
        <f>YEAR(emp_db[[#This Row],[Column1]])</f>
        <v>1900</v>
      </c>
      <c r="T93" s="42">
        <f>MONTH(emp_db[[#This Row],[Column1]])</f>
        <v>1</v>
      </c>
      <c r="U93" s="42">
        <f>IFERROR(YEAR(emp_db[[#This Row],[Exit Date]]),"")</f>
        <v>1900</v>
      </c>
      <c r="V93" s="42">
        <f>IFERROR(MONTH(emp_db[[#This Row],[Exit Date]]),"")</f>
        <v>1</v>
      </c>
    </row>
    <row r="94" spans="2:22">
      <c r="B94" s="39"/>
      <c r="C94" s="39"/>
      <c r="D94" s="39"/>
      <c r="E94" s="39"/>
      <c r="F94" s="40"/>
      <c r="G94" s="38"/>
      <c r="H94" s="43"/>
      <c r="I94" s="43"/>
      <c r="J94" s="39"/>
      <c r="K94" s="38"/>
      <c r="L94" s="39"/>
      <c r="M94" s="39"/>
      <c r="N94" s="43"/>
      <c r="O94" s="38"/>
      <c r="P94" s="38"/>
      <c r="Q94" s="41" t="str">
        <f ca="1">IF(emp_db[[#This Row],[Exit Date]]&lt;&gt;"",(emp_db[[#This Row],[Exit Date]]-emp_db[[#This Row],[Column1]])/365,IF(emp_db[[#This Row],[ID]]&lt;&gt;"",(TODAY()-emp_db[[#This Row],[Column1]])/365,""))</f>
        <v/>
      </c>
      <c r="R94" s="42" t="str">
        <f ca="1">IF(emp_db[[#This Row],[Date of Birth]]&lt;&gt;"",(TODAY()-emp_db[[#This Row],[Date of Birth]])/365,"")</f>
        <v/>
      </c>
      <c r="S94" s="42">
        <f>YEAR(emp_db[[#This Row],[Column1]])</f>
        <v>1900</v>
      </c>
      <c r="T94" s="42">
        <f>MONTH(emp_db[[#This Row],[Column1]])</f>
        <v>1</v>
      </c>
      <c r="U94" s="42">
        <f>IFERROR(YEAR(emp_db[[#This Row],[Exit Date]]),"")</f>
        <v>1900</v>
      </c>
      <c r="V94" s="42">
        <f>IFERROR(MONTH(emp_db[[#This Row],[Exit Date]]),"")</f>
        <v>1</v>
      </c>
    </row>
    <row r="95" spans="2:22">
      <c r="B95" s="39"/>
      <c r="C95" s="39"/>
      <c r="D95" s="39"/>
      <c r="E95" s="39"/>
      <c r="F95" s="40"/>
      <c r="G95" s="38"/>
      <c r="H95" s="43"/>
      <c r="I95" s="43"/>
      <c r="J95" s="39"/>
      <c r="K95" s="38"/>
      <c r="L95" s="39"/>
      <c r="M95" s="39"/>
      <c r="N95" s="43"/>
      <c r="O95" s="38"/>
      <c r="P95" s="38"/>
      <c r="Q95" s="41" t="str">
        <f ca="1">IF(emp_db[[#This Row],[Exit Date]]&lt;&gt;"",(emp_db[[#This Row],[Exit Date]]-emp_db[[#This Row],[Column1]])/365,IF(emp_db[[#This Row],[ID]]&lt;&gt;"",(TODAY()-emp_db[[#This Row],[Column1]])/365,""))</f>
        <v/>
      </c>
      <c r="R95" s="42" t="str">
        <f ca="1">IF(emp_db[[#This Row],[Date of Birth]]&lt;&gt;"",(TODAY()-emp_db[[#This Row],[Date of Birth]])/365,"")</f>
        <v/>
      </c>
      <c r="S95" s="42">
        <f>YEAR(emp_db[[#This Row],[Column1]])</f>
        <v>1900</v>
      </c>
      <c r="T95" s="42">
        <f>MONTH(emp_db[[#This Row],[Column1]])</f>
        <v>1</v>
      </c>
      <c r="U95" s="42">
        <f>IFERROR(YEAR(emp_db[[#This Row],[Exit Date]]),"")</f>
        <v>1900</v>
      </c>
      <c r="V95" s="42">
        <f>IFERROR(MONTH(emp_db[[#This Row],[Exit Date]]),"")</f>
        <v>1</v>
      </c>
    </row>
    <row r="96" spans="2:22">
      <c r="B96" s="39"/>
      <c r="C96" s="39"/>
      <c r="D96" s="39"/>
      <c r="E96" s="39"/>
      <c r="F96" s="40"/>
      <c r="G96" s="38"/>
      <c r="H96" s="43"/>
      <c r="I96" s="43"/>
      <c r="J96" s="39"/>
      <c r="K96" s="38"/>
      <c r="L96" s="39"/>
      <c r="M96" s="39"/>
      <c r="N96" s="43"/>
      <c r="O96" s="38"/>
      <c r="P96" s="38"/>
      <c r="Q96" s="41" t="str">
        <f ca="1">IF(emp_db[[#This Row],[Exit Date]]&lt;&gt;"",(emp_db[[#This Row],[Exit Date]]-emp_db[[#This Row],[Column1]])/365,IF(emp_db[[#This Row],[ID]]&lt;&gt;"",(TODAY()-emp_db[[#This Row],[Column1]])/365,""))</f>
        <v/>
      </c>
      <c r="R96" s="42" t="str">
        <f ca="1">IF(emp_db[[#This Row],[Date of Birth]]&lt;&gt;"",(TODAY()-emp_db[[#This Row],[Date of Birth]])/365,"")</f>
        <v/>
      </c>
      <c r="S96" s="42">
        <f>YEAR(emp_db[[#This Row],[Column1]])</f>
        <v>1900</v>
      </c>
      <c r="T96" s="42">
        <f>MONTH(emp_db[[#This Row],[Column1]])</f>
        <v>1</v>
      </c>
      <c r="U96" s="42">
        <f>IFERROR(YEAR(emp_db[[#This Row],[Exit Date]]),"")</f>
        <v>1900</v>
      </c>
      <c r="V96" s="42">
        <f>IFERROR(MONTH(emp_db[[#This Row],[Exit Date]]),"")</f>
        <v>1</v>
      </c>
    </row>
    <row r="97" spans="2:22">
      <c r="B97" s="39"/>
      <c r="C97" s="39"/>
      <c r="D97" s="39"/>
      <c r="E97" s="39"/>
      <c r="F97" s="40"/>
      <c r="G97" s="38"/>
      <c r="H97" s="43"/>
      <c r="I97" s="43"/>
      <c r="J97" s="39"/>
      <c r="K97" s="38"/>
      <c r="L97" s="39"/>
      <c r="M97" s="39"/>
      <c r="N97" s="43"/>
      <c r="O97" s="38"/>
      <c r="P97" s="38"/>
      <c r="Q97" s="41" t="str">
        <f ca="1">IF(emp_db[[#This Row],[Exit Date]]&lt;&gt;"",(emp_db[[#This Row],[Exit Date]]-emp_db[[#This Row],[Column1]])/365,IF(emp_db[[#This Row],[ID]]&lt;&gt;"",(TODAY()-emp_db[[#This Row],[Column1]])/365,""))</f>
        <v/>
      </c>
      <c r="R97" s="42" t="str">
        <f ca="1">IF(emp_db[[#This Row],[Date of Birth]]&lt;&gt;"",(TODAY()-emp_db[[#This Row],[Date of Birth]])/365,"")</f>
        <v/>
      </c>
      <c r="S97" s="42">
        <f>YEAR(emp_db[[#This Row],[Column1]])</f>
        <v>1900</v>
      </c>
      <c r="T97" s="42">
        <f>MONTH(emp_db[[#This Row],[Column1]])</f>
        <v>1</v>
      </c>
      <c r="U97" s="42">
        <f>IFERROR(YEAR(emp_db[[#This Row],[Exit Date]]),"")</f>
        <v>1900</v>
      </c>
      <c r="V97" s="42">
        <f>IFERROR(MONTH(emp_db[[#This Row],[Exit Date]]),"")</f>
        <v>1</v>
      </c>
    </row>
    <row r="98" spans="2:22">
      <c r="B98" s="39"/>
      <c r="C98" s="39"/>
      <c r="D98" s="39"/>
      <c r="E98" s="39"/>
      <c r="F98" s="40"/>
      <c r="G98" s="38"/>
      <c r="H98" s="43"/>
      <c r="I98" s="43"/>
      <c r="J98" s="39"/>
      <c r="K98" s="38"/>
      <c r="L98" s="39"/>
      <c r="M98" s="39"/>
      <c r="N98" s="43"/>
      <c r="O98" s="38"/>
      <c r="P98" s="38"/>
      <c r="Q98" s="41" t="str">
        <f ca="1">IF(emp_db[[#This Row],[Exit Date]]&lt;&gt;"",(emp_db[[#This Row],[Exit Date]]-emp_db[[#This Row],[Column1]])/365,IF(emp_db[[#This Row],[ID]]&lt;&gt;"",(TODAY()-emp_db[[#This Row],[Column1]])/365,""))</f>
        <v/>
      </c>
      <c r="R98" s="42" t="str">
        <f ca="1">IF(emp_db[[#This Row],[Date of Birth]]&lt;&gt;"",(TODAY()-emp_db[[#This Row],[Date of Birth]])/365,"")</f>
        <v/>
      </c>
      <c r="S98" s="42">
        <f>YEAR(emp_db[[#This Row],[Column1]])</f>
        <v>1900</v>
      </c>
      <c r="T98" s="42">
        <f>MONTH(emp_db[[#This Row],[Column1]])</f>
        <v>1</v>
      </c>
      <c r="U98" s="42">
        <f>IFERROR(YEAR(emp_db[[#This Row],[Exit Date]]),"")</f>
        <v>1900</v>
      </c>
      <c r="V98" s="42">
        <f>IFERROR(MONTH(emp_db[[#This Row],[Exit Date]]),"")</f>
        <v>1</v>
      </c>
    </row>
    <row r="99" spans="2:22">
      <c r="B99" s="39"/>
      <c r="C99" s="39"/>
      <c r="D99" s="39"/>
      <c r="E99" s="39"/>
      <c r="F99" s="40"/>
      <c r="G99" s="38"/>
      <c r="H99" s="43"/>
      <c r="I99" s="43"/>
      <c r="J99" s="39"/>
      <c r="K99" s="38"/>
      <c r="L99" s="39"/>
      <c r="M99" s="39"/>
      <c r="N99" s="43"/>
      <c r="O99" s="38"/>
      <c r="P99" s="38"/>
      <c r="Q99" s="41" t="str">
        <f ca="1">IF(emp_db[[#This Row],[Exit Date]]&lt;&gt;"",(emp_db[[#This Row],[Exit Date]]-emp_db[[#This Row],[Column1]])/365,IF(emp_db[[#This Row],[ID]]&lt;&gt;"",(TODAY()-emp_db[[#This Row],[Column1]])/365,""))</f>
        <v/>
      </c>
      <c r="R99" s="42" t="str">
        <f ca="1">IF(emp_db[[#This Row],[Date of Birth]]&lt;&gt;"",(TODAY()-emp_db[[#This Row],[Date of Birth]])/365,"")</f>
        <v/>
      </c>
      <c r="S99" s="42">
        <f>YEAR(emp_db[[#This Row],[Column1]])</f>
        <v>1900</v>
      </c>
      <c r="T99" s="42">
        <f>MONTH(emp_db[[#This Row],[Column1]])</f>
        <v>1</v>
      </c>
      <c r="U99" s="42">
        <f>IFERROR(YEAR(emp_db[[#This Row],[Exit Date]]),"")</f>
        <v>1900</v>
      </c>
      <c r="V99" s="42">
        <f>IFERROR(MONTH(emp_db[[#This Row],[Exit Date]]),"")</f>
        <v>1</v>
      </c>
    </row>
    <row r="100" spans="2:22">
      <c r="B100" s="39"/>
      <c r="C100" s="39"/>
      <c r="D100" s="39"/>
      <c r="E100" s="39"/>
      <c r="F100" s="40"/>
      <c r="G100" s="38"/>
      <c r="H100" s="43"/>
      <c r="I100" s="43"/>
      <c r="J100" s="39"/>
      <c r="K100" s="38"/>
      <c r="L100" s="39"/>
      <c r="M100" s="39"/>
      <c r="N100" s="43"/>
      <c r="O100" s="38"/>
      <c r="P100" s="38"/>
      <c r="Q100" s="41" t="str">
        <f ca="1">IF(emp_db[[#This Row],[Exit Date]]&lt;&gt;"",(emp_db[[#This Row],[Exit Date]]-emp_db[[#This Row],[Column1]])/365,IF(emp_db[[#This Row],[ID]]&lt;&gt;"",(TODAY()-emp_db[[#This Row],[Column1]])/365,""))</f>
        <v/>
      </c>
      <c r="R100" s="42" t="str">
        <f ca="1">IF(emp_db[[#This Row],[Date of Birth]]&lt;&gt;"",(TODAY()-emp_db[[#This Row],[Date of Birth]])/365,"")</f>
        <v/>
      </c>
      <c r="S100" s="42">
        <f>YEAR(emp_db[[#This Row],[Column1]])</f>
        <v>1900</v>
      </c>
      <c r="T100" s="42">
        <f>MONTH(emp_db[[#This Row],[Column1]])</f>
        <v>1</v>
      </c>
      <c r="U100" s="42">
        <f>IFERROR(YEAR(emp_db[[#This Row],[Exit Date]]),"")</f>
        <v>1900</v>
      </c>
      <c r="V100" s="42">
        <f>IFERROR(MONTH(emp_db[[#This Row],[Exit Date]]),"")</f>
        <v>1</v>
      </c>
    </row>
    <row r="101" spans="2:22">
      <c r="B101" s="39"/>
      <c r="C101" s="39"/>
      <c r="D101" s="39"/>
      <c r="E101" s="39"/>
      <c r="F101" s="40"/>
      <c r="G101" s="38"/>
      <c r="H101" s="43"/>
      <c r="I101" s="43"/>
      <c r="J101" s="39"/>
      <c r="K101" s="38"/>
      <c r="L101" s="39"/>
      <c r="M101" s="39"/>
      <c r="N101" s="43"/>
      <c r="O101" s="38"/>
      <c r="P101" s="38"/>
      <c r="Q101" s="41" t="str">
        <f ca="1">IF(emp_db[[#This Row],[Exit Date]]&lt;&gt;"",(emp_db[[#This Row],[Exit Date]]-emp_db[[#This Row],[Column1]])/365,IF(emp_db[[#This Row],[ID]]&lt;&gt;"",(TODAY()-emp_db[[#This Row],[Column1]])/365,""))</f>
        <v/>
      </c>
      <c r="R101" s="42" t="str">
        <f ca="1">IF(emp_db[[#This Row],[Date of Birth]]&lt;&gt;"",(TODAY()-emp_db[[#This Row],[Date of Birth]])/365,"")</f>
        <v/>
      </c>
      <c r="S101" s="42">
        <f>YEAR(emp_db[[#This Row],[Column1]])</f>
        <v>1900</v>
      </c>
      <c r="T101" s="42">
        <f>MONTH(emp_db[[#This Row],[Column1]])</f>
        <v>1</v>
      </c>
      <c r="U101" s="42">
        <f>IFERROR(YEAR(emp_db[[#This Row],[Exit Date]]),"")</f>
        <v>1900</v>
      </c>
      <c r="V101" s="42">
        <f>IFERROR(MONTH(emp_db[[#This Row],[Exit Date]]),"")</f>
        <v>1</v>
      </c>
    </row>
    <row r="102" spans="2:22">
      <c r="B102" s="39"/>
      <c r="C102" s="39"/>
      <c r="D102" s="39"/>
      <c r="E102" s="39"/>
      <c r="F102" s="40"/>
      <c r="G102" s="38"/>
      <c r="H102" s="43"/>
      <c r="I102" s="43"/>
      <c r="J102" s="39"/>
      <c r="K102" s="38"/>
      <c r="L102" s="39"/>
      <c r="M102" s="39"/>
      <c r="N102" s="43"/>
      <c r="O102" s="38"/>
      <c r="P102" s="38"/>
      <c r="Q102" s="41" t="str">
        <f ca="1">IF(emp_db[[#This Row],[Exit Date]]&lt;&gt;"",(emp_db[[#This Row],[Exit Date]]-emp_db[[#This Row],[Column1]])/365,IF(emp_db[[#This Row],[ID]]&lt;&gt;"",(TODAY()-emp_db[[#This Row],[Column1]])/365,""))</f>
        <v/>
      </c>
      <c r="R102" s="42" t="str">
        <f ca="1">IF(emp_db[[#This Row],[Date of Birth]]&lt;&gt;"",(TODAY()-emp_db[[#This Row],[Date of Birth]])/365,"")</f>
        <v/>
      </c>
      <c r="S102" s="42">
        <f>YEAR(emp_db[[#This Row],[Column1]])</f>
        <v>1900</v>
      </c>
      <c r="T102" s="42">
        <f>MONTH(emp_db[[#This Row],[Column1]])</f>
        <v>1</v>
      </c>
      <c r="U102" s="42">
        <f>IFERROR(YEAR(emp_db[[#This Row],[Exit Date]]),"")</f>
        <v>1900</v>
      </c>
      <c r="V102" s="42">
        <f>IFERROR(MONTH(emp_db[[#This Row],[Exit Date]]),"")</f>
        <v>1</v>
      </c>
    </row>
    <row r="103" spans="2:22">
      <c r="B103" s="39"/>
      <c r="C103" s="39"/>
      <c r="D103" s="39"/>
      <c r="E103" s="39"/>
      <c r="F103" s="40"/>
      <c r="G103" s="38"/>
      <c r="H103" s="43"/>
      <c r="I103" s="43"/>
      <c r="J103" s="39"/>
      <c r="K103" s="38"/>
      <c r="L103" s="39"/>
      <c r="M103" s="39"/>
      <c r="N103" s="43"/>
      <c r="O103" s="38"/>
      <c r="P103" s="38"/>
      <c r="Q103" s="41" t="str">
        <f ca="1">IF(emp_db[[#This Row],[Exit Date]]&lt;&gt;"",(emp_db[[#This Row],[Exit Date]]-emp_db[[#This Row],[Column1]])/365,IF(emp_db[[#This Row],[ID]]&lt;&gt;"",(TODAY()-emp_db[[#This Row],[Column1]])/365,""))</f>
        <v/>
      </c>
      <c r="R103" s="42" t="str">
        <f ca="1">IF(emp_db[[#This Row],[Date of Birth]]&lt;&gt;"",(TODAY()-emp_db[[#This Row],[Date of Birth]])/365,"")</f>
        <v/>
      </c>
      <c r="S103" s="42">
        <f>YEAR(emp_db[[#This Row],[Column1]])</f>
        <v>1900</v>
      </c>
      <c r="T103" s="42">
        <f>MONTH(emp_db[[#This Row],[Column1]])</f>
        <v>1</v>
      </c>
      <c r="U103" s="42">
        <f>IFERROR(YEAR(emp_db[[#This Row],[Exit Date]]),"")</f>
        <v>1900</v>
      </c>
      <c r="V103" s="42">
        <f>IFERROR(MONTH(emp_db[[#This Row],[Exit Date]]),"")</f>
        <v>1</v>
      </c>
    </row>
    <row r="104" spans="2:22">
      <c r="B104" s="39"/>
      <c r="C104" s="39"/>
      <c r="D104" s="39"/>
      <c r="E104" s="39"/>
      <c r="F104" s="40"/>
      <c r="G104" s="38"/>
      <c r="H104" s="43"/>
      <c r="I104" s="43"/>
      <c r="J104" s="39"/>
      <c r="K104" s="38"/>
      <c r="L104" s="39"/>
      <c r="M104" s="39"/>
      <c r="N104" s="43"/>
      <c r="O104" s="38"/>
      <c r="P104" s="38"/>
      <c r="Q104" s="41" t="str">
        <f ca="1">IF(emp_db[[#This Row],[Exit Date]]&lt;&gt;"",(emp_db[[#This Row],[Exit Date]]-emp_db[[#This Row],[Column1]])/365,IF(emp_db[[#This Row],[ID]]&lt;&gt;"",(TODAY()-emp_db[[#This Row],[Column1]])/365,""))</f>
        <v/>
      </c>
      <c r="R104" s="42" t="str">
        <f ca="1">IF(emp_db[[#This Row],[Date of Birth]]&lt;&gt;"",(TODAY()-emp_db[[#This Row],[Date of Birth]])/365,"")</f>
        <v/>
      </c>
      <c r="S104" s="42">
        <f>YEAR(emp_db[[#This Row],[Column1]])</f>
        <v>1900</v>
      </c>
      <c r="T104" s="42">
        <f>MONTH(emp_db[[#This Row],[Column1]])</f>
        <v>1</v>
      </c>
      <c r="U104" s="42">
        <f>IFERROR(YEAR(emp_db[[#This Row],[Exit Date]]),"")</f>
        <v>1900</v>
      </c>
      <c r="V104" s="42">
        <f>IFERROR(MONTH(emp_db[[#This Row],[Exit Date]]),"")</f>
        <v>1</v>
      </c>
    </row>
    <row r="105" spans="2:22">
      <c r="B105" s="39"/>
      <c r="C105" s="39"/>
      <c r="D105" s="39"/>
      <c r="E105" s="39"/>
      <c r="F105" s="40"/>
      <c r="G105" s="38"/>
      <c r="H105" s="43"/>
      <c r="I105" s="43"/>
      <c r="J105" s="39"/>
      <c r="K105" s="38"/>
      <c r="L105" s="39"/>
      <c r="M105" s="39"/>
      <c r="N105" s="43"/>
      <c r="O105" s="38"/>
      <c r="P105" s="38"/>
      <c r="Q105" s="41" t="str">
        <f ca="1">IF(emp_db[[#This Row],[Exit Date]]&lt;&gt;"",(emp_db[[#This Row],[Exit Date]]-emp_db[[#This Row],[Column1]])/365,IF(emp_db[[#This Row],[ID]]&lt;&gt;"",(TODAY()-emp_db[[#This Row],[Column1]])/365,""))</f>
        <v/>
      </c>
      <c r="R105" s="42" t="str">
        <f ca="1">IF(emp_db[[#This Row],[Date of Birth]]&lt;&gt;"",(TODAY()-emp_db[[#This Row],[Date of Birth]])/365,"")</f>
        <v/>
      </c>
      <c r="S105" s="42">
        <f>YEAR(emp_db[[#This Row],[Column1]])</f>
        <v>1900</v>
      </c>
      <c r="T105" s="42">
        <f>MONTH(emp_db[[#This Row],[Column1]])</f>
        <v>1</v>
      </c>
      <c r="U105" s="42">
        <f>IFERROR(YEAR(emp_db[[#This Row],[Exit Date]]),"")</f>
        <v>1900</v>
      </c>
      <c r="V105" s="42">
        <f>IFERROR(MONTH(emp_db[[#This Row],[Exit Date]]),"")</f>
        <v>1</v>
      </c>
    </row>
    <row r="106" spans="2:22">
      <c r="B106" s="39"/>
      <c r="C106" s="39"/>
      <c r="D106" s="39"/>
      <c r="E106" s="39"/>
      <c r="F106" s="40"/>
      <c r="G106" s="38"/>
      <c r="H106" s="43"/>
      <c r="I106" s="43"/>
      <c r="J106" s="39"/>
      <c r="K106" s="38"/>
      <c r="L106" s="39"/>
      <c r="M106" s="39"/>
      <c r="N106" s="43"/>
      <c r="O106" s="38"/>
      <c r="P106" s="38"/>
      <c r="Q106" s="41" t="str">
        <f ca="1">IF(emp_db[[#This Row],[Exit Date]]&lt;&gt;"",(emp_db[[#This Row],[Exit Date]]-emp_db[[#This Row],[Column1]])/365,IF(emp_db[[#This Row],[ID]]&lt;&gt;"",(TODAY()-emp_db[[#This Row],[Column1]])/365,""))</f>
        <v/>
      </c>
      <c r="R106" s="42" t="str">
        <f ca="1">IF(emp_db[[#This Row],[Date of Birth]]&lt;&gt;"",(TODAY()-emp_db[[#This Row],[Date of Birth]])/365,"")</f>
        <v/>
      </c>
      <c r="S106" s="42">
        <f>YEAR(emp_db[[#This Row],[Column1]])</f>
        <v>1900</v>
      </c>
      <c r="T106" s="42">
        <f>MONTH(emp_db[[#This Row],[Column1]])</f>
        <v>1</v>
      </c>
      <c r="U106" s="42">
        <f>IFERROR(YEAR(emp_db[[#This Row],[Exit Date]]),"")</f>
        <v>1900</v>
      </c>
      <c r="V106" s="42">
        <f>IFERROR(MONTH(emp_db[[#This Row],[Exit Date]]),"")</f>
        <v>1</v>
      </c>
    </row>
    <row r="107" spans="2:22">
      <c r="B107" s="39"/>
      <c r="C107" s="39"/>
      <c r="D107" s="39"/>
      <c r="E107" s="39"/>
      <c r="F107" s="40"/>
      <c r="G107" s="38"/>
      <c r="H107" s="43"/>
      <c r="I107" s="43"/>
      <c r="J107" s="39"/>
      <c r="K107" s="38"/>
      <c r="L107" s="39"/>
      <c r="M107" s="39"/>
      <c r="N107" s="43"/>
      <c r="O107" s="38"/>
      <c r="P107" s="38"/>
      <c r="Q107" s="41" t="str">
        <f ca="1">IF(emp_db[[#This Row],[Exit Date]]&lt;&gt;"",(emp_db[[#This Row],[Exit Date]]-emp_db[[#This Row],[Column1]])/365,IF(emp_db[[#This Row],[ID]]&lt;&gt;"",(TODAY()-emp_db[[#This Row],[Column1]])/365,""))</f>
        <v/>
      </c>
      <c r="R107" s="42" t="str">
        <f ca="1">IF(emp_db[[#This Row],[Date of Birth]]&lt;&gt;"",(TODAY()-emp_db[[#This Row],[Date of Birth]])/365,"")</f>
        <v/>
      </c>
      <c r="S107" s="42">
        <f>YEAR(emp_db[[#This Row],[Column1]])</f>
        <v>1900</v>
      </c>
      <c r="T107" s="42">
        <f>MONTH(emp_db[[#This Row],[Column1]])</f>
        <v>1</v>
      </c>
      <c r="U107" s="42">
        <f>IFERROR(YEAR(emp_db[[#This Row],[Exit Date]]),"")</f>
        <v>1900</v>
      </c>
      <c r="V107" s="42">
        <f>IFERROR(MONTH(emp_db[[#This Row],[Exit Date]]),"")</f>
        <v>1</v>
      </c>
    </row>
    <row r="108" spans="2:22">
      <c r="B108" s="39"/>
      <c r="C108" s="39"/>
      <c r="D108" s="39"/>
      <c r="E108" s="39"/>
      <c r="F108" s="40"/>
      <c r="G108" s="38"/>
      <c r="H108" s="43"/>
      <c r="I108" s="43"/>
      <c r="J108" s="39"/>
      <c r="K108" s="38"/>
      <c r="L108" s="39"/>
      <c r="M108" s="39"/>
      <c r="N108" s="43"/>
      <c r="O108" s="38"/>
      <c r="P108" s="38"/>
      <c r="Q108" s="41" t="str">
        <f ca="1">IF(emp_db[[#This Row],[Exit Date]]&lt;&gt;"",(emp_db[[#This Row],[Exit Date]]-emp_db[[#This Row],[Column1]])/365,IF(emp_db[[#This Row],[ID]]&lt;&gt;"",(TODAY()-emp_db[[#This Row],[Column1]])/365,""))</f>
        <v/>
      </c>
      <c r="R108" s="42" t="str">
        <f ca="1">IF(emp_db[[#This Row],[Date of Birth]]&lt;&gt;"",(TODAY()-emp_db[[#This Row],[Date of Birth]])/365,"")</f>
        <v/>
      </c>
      <c r="S108" s="42">
        <f>YEAR(emp_db[[#This Row],[Column1]])</f>
        <v>1900</v>
      </c>
      <c r="T108" s="42">
        <f>MONTH(emp_db[[#This Row],[Column1]])</f>
        <v>1</v>
      </c>
      <c r="U108" s="42">
        <f>IFERROR(YEAR(emp_db[[#This Row],[Exit Date]]),"")</f>
        <v>1900</v>
      </c>
      <c r="V108" s="42">
        <f>IFERROR(MONTH(emp_db[[#This Row],[Exit Date]]),"")</f>
        <v>1</v>
      </c>
    </row>
    <row r="109" spans="2:22">
      <c r="B109" s="39"/>
      <c r="C109" s="39"/>
      <c r="D109" s="39"/>
      <c r="E109" s="39"/>
      <c r="F109" s="40"/>
      <c r="G109" s="38"/>
      <c r="H109" s="43"/>
      <c r="I109" s="43"/>
      <c r="J109" s="39"/>
      <c r="K109" s="38"/>
      <c r="L109" s="39"/>
      <c r="M109" s="39"/>
      <c r="N109" s="43"/>
      <c r="O109" s="38"/>
      <c r="P109" s="38"/>
      <c r="Q109" s="41" t="str">
        <f ca="1">IF(emp_db[[#This Row],[Exit Date]]&lt;&gt;"",(emp_db[[#This Row],[Exit Date]]-emp_db[[#This Row],[Column1]])/365,IF(emp_db[[#This Row],[ID]]&lt;&gt;"",(TODAY()-emp_db[[#This Row],[Column1]])/365,""))</f>
        <v/>
      </c>
      <c r="R109" s="42" t="str">
        <f ca="1">IF(emp_db[[#This Row],[Date of Birth]]&lt;&gt;"",(TODAY()-emp_db[[#This Row],[Date of Birth]])/365,"")</f>
        <v/>
      </c>
      <c r="S109" s="42">
        <f>YEAR(emp_db[[#This Row],[Column1]])</f>
        <v>1900</v>
      </c>
      <c r="T109" s="42">
        <f>MONTH(emp_db[[#This Row],[Column1]])</f>
        <v>1</v>
      </c>
      <c r="U109" s="42">
        <f>IFERROR(YEAR(emp_db[[#This Row],[Exit Date]]),"")</f>
        <v>1900</v>
      </c>
      <c r="V109" s="42">
        <f>IFERROR(MONTH(emp_db[[#This Row],[Exit Date]]),"")</f>
        <v>1</v>
      </c>
    </row>
    <row r="110" spans="2:22">
      <c r="B110" s="39"/>
      <c r="C110" s="39"/>
      <c r="D110" s="39"/>
      <c r="E110" s="39"/>
      <c r="F110" s="40"/>
      <c r="G110" s="38"/>
      <c r="H110" s="43"/>
      <c r="I110" s="43"/>
      <c r="J110" s="39"/>
      <c r="K110" s="38"/>
      <c r="L110" s="39"/>
      <c r="M110" s="39"/>
      <c r="N110" s="43"/>
      <c r="O110" s="38"/>
      <c r="P110" s="38"/>
      <c r="Q110" s="41" t="str">
        <f ca="1">IF(emp_db[[#This Row],[Exit Date]]&lt;&gt;"",(emp_db[[#This Row],[Exit Date]]-emp_db[[#This Row],[Column1]])/365,IF(emp_db[[#This Row],[ID]]&lt;&gt;"",(TODAY()-emp_db[[#This Row],[Column1]])/365,""))</f>
        <v/>
      </c>
      <c r="R110" s="42" t="str">
        <f ca="1">IF(emp_db[[#This Row],[Date of Birth]]&lt;&gt;"",(TODAY()-emp_db[[#This Row],[Date of Birth]])/365,"")</f>
        <v/>
      </c>
      <c r="S110" s="42">
        <f>YEAR(emp_db[[#This Row],[Column1]])</f>
        <v>1900</v>
      </c>
      <c r="T110" s="42">
        <f>MONTH(emp_db[[#This Row],[Column1]])</f>
        <v>1</v>
      </c>
      <c r="U110" s="42">
        <f>IFERROR(YEAR(emp_db[[#This Row],[Exit Date]]),"")</f>
        <v>1900</v>
      </c>
      <c r="V110" s="42">
        <f>IFERROR(MONTH(emp_db[[#This Row],[Exit Date]]),"")</f>
        <v>1</v>
      </c>
    </row>
    <row r="111" spans="2:22">
      <c r="B111" s="39"/>
      <c r="C111" s="39"/>
      <c r="D111" s="39"/>
      <c r="E111" s="39"/>
      <c r="F111" s="40"/>
      <c r="G111" s="38"/>
      <c r="H111" s="43"/>
      <c r="I111" s="43"/>
      <c r="J111" s="39"/>
      <c r="K111" s="38"/>
      <c r="L111" s="39"/>
      <c r="M111" s="39"/>
      <c r="N111" s="43"/>
      <c r="O111" s="38"/>
      <c r="P111" s="38"/>
      <c r="Q111" s="41" t="str">
        <f ca="1">IF(emp_db[[#This Row],[Exit Date]]&lt;&gt;"",(emp_db[[#This Row],[Exit Date]]-emp_db[[#This Row],[Column1]])/365,IF(emp_db[[#This Row],[ID]]&lt;&gt;"",(TODAY()-emp_db[[#This Row],[Column1]])/365,""))</f>
        <v/>
      </c>
      <c r="R111" s="42" t="str">
        <f ca="1">IF(emp_db[[#This Row],[Date of Birth]]&lt;&gt;"",(TODAY()-emp_db[[#This Row],[Date of Birth]])/365,"")</f>
        <v/>
      </c>
      <c r="S111" s="42">
        <f>YEAR(emp_db[[#This Row],[Column1]])</f>
        <v>1900</v>
      </c>
      <c r="T111" s="42">
        <f>MONTH(emp_db[[#This Row],[Column1]])</f>
        <v>1</v>
      </c>
      <c r="U111" s="42">
        <f>IFERROR(YEAR(emp_db[[#This Row],[Exit Date]]),"")</f>
        <v>1900</v>
      </c>
      <c r="V111" s="42">
        <f>IFERROR(MONTH(emp_db[[#This Row],[Exit Date]]),"")</f>
        <v>1</v>
      </c>
    </row>
    <row r="112" spans="2:22">
      <c r="B112" s="39"/>
      <c r="C112" s="39"/>
      <c r="D112" s="39"/>
      <c r="E112" s="39"/>
      <c r="F112" s="40"/>
      <c r="G112" s="38"/>
      <c r="H112" s="43"/>
      <c r="I112" s="43"/>
      <c r="J112" s="39"/>
      <c r="K112" s="38"/>
      <c r="L112" s="39"/>
      <c r="M112" s="39"/>
      <c r="N112" s="43"/>
      <c r="O112" s="38"/>
      <c r="P112" s="38"/>
      <c r="Q112" s="41" t="str">
        <f ca="1">IF(emp_db[[#This Row],[Exit Date]]&lt;&gt;"",(emp_db[[#This Row],[Exit Date]]-emp_db[[#This Row],[Column1]])/365,IF(emp_db[[#This Row],[ID]]&lt;&gt;"",(TODAY()-emp_db[[#This Row],[Column1]])/365,""))</f>
        <v/>
      </c>
      <c r="R112" s="42" t="str">
        <f ca="1">IF(emp_db[[#This Row],[Date of Birth]]&lt;&gt;"",(TODAY()-emp_db[[#This Row],[Date of Birth]])/365,"")</f>
        <v/>
      </c>
      <c r="S112" s="42">
        <f>YEAR(emp_db[[#This Row],[Column1]])</f>
        <v>1900</v>
      </c>
      <c r="T112" s="42">
        <f>MONTH(emp_db[[#This Row],[Column1]])</f>
        <v>1</v>
      </c>
      <c r="U112" s="42">
        <f>IFERROR(YEAR(emp_db[[#This Row],[Exit Date]]),"")</f>
        <v>1900</v>
      </c>
      <c r="V112" s="42">
        <f>IFERROR(MONTH(emp_db[[#This Row],[Exit Date]]),"")</f>
        <v>1</v>
      </c>
    </row>
    <row r="113" spans="2:22">
      <c r="B113" s="39"/>
      <c r="C113" s="39"/>
      <c r="D113" s="39"/>
      <c r="E113" s="39"/>
      <c r="F113" s="40"/>
      <c r="G113" s="38"/>
      <c r="H113" s="43"/>
      <c r="I113" s="43"/>
      <c r="J113" s="39"/>
      <c r="K113" s="38"/>
      <c r="L113" s="39"/>
      <c r="M113" s="39"/>
      <c r="N113" s="43"/>
      <c r="O113" s="38"/>
      <c r="P113" s="38"/>
      <c r="Q113" s="41" t="str">
        <f ca="1">IF(emp_db[[#This Row],[Exit Date]]&lt;&gt;"",(emp_db[[#This Row],[Exit Date]]-emp_db[[#This Row],[Column1]])/365,IF(emp_db[[#This Row],[ID]]&lt;&gt;"",(TODAY()-emp_db[[#This Row],[Column1]])/365,""))</f>
        <v/>
      </c>
      <c r="R113" s="42" t="str">
        <f ca="1">IF(emp_db[[#This Row],[Date of Birth]]&lt;&gt;"",(TODAY()-emp_db[[#This Row],[Date of Birth]])/365,"")</f>
        <v/>
      </c>
      <c r="S113" s="42">
        <f>YEAR(emp_db[[#This Row],[Column1]])</f>
        <v>1900</v>
      </c>
      <c r="T113" s="42">
        <f>MONTH(emp_db[[#This Row],[Column1]])</f>
        <v>1</v>
      </c>
      <c r="U113" s="42">
        <f>IFERROR(YEAR(emp_db[[#This Row],[Exit Date]]),"")</f>
        <v>1900</v>
      </c>
      <c r="V113" s="42">
        <f>IFERROR(MONTH(emp_db[[#This Row],[Exit Date]]),"")</f>
        <v>1</v>
      </c>
    </row>
    <row r="114" spans="2:22">
      <c r="B114" s="39"/>
      <c r="C114" s="39"/>
      <c r="D114" s="39"/>
      <c r="E114" s="39"/>
      <c r="F114" s="40"/>
      <c r="G114" s="38"/>
      <c r="H114" s="43"/>
      <c r="I114" s="43"/>
      <c r="J114" s="39"/>
      <c r="K114" s="38"/>
      <c r="L114" s="39"/>
      <c r="M114" s="39"/>
      <c r="N114" s="43"/>
      <c r="O114" s="38"/>
      <c r="P114" s="38"/>
      <c r="Q114" s="41" t="str">
        <f ca="1">IF(emp_db[[#This Row],[Exit Date]]&lt;&gt;"",(emp_db[[#This Row],[Exit Date]]-emp_db[[#This Row],[Column1]])/365,IF(emp_db[[#This Row],[ID]]&lt;&gt;"",(TODAY()-emp_db[[#This Row],[Column1]])/365,""))</f>
        <v/>
      </c>
      <c r="R114" s="42" t="str">
        <f ca="1">IF(emp_db[[#This Row],[Date of Birth]]&lt;&gt;"",(TODAY()-emp_db[[#This Row],[Date of Birth]])/365,"")</f>
        <v/>
      </c>
      <c r="S114" s="42">
        <f>YEAR(emp_db[[#This Row],[Column1]])</f>
        <v>1900</v>
      </c>
      <c r="T114" s="42">
        <f>MONTH(emp_db[[#This Row],[Column1]])</f>
        <v>1</v>
      </c>
      <c r="U114" s="42">
        <f>IFERROR(YEAR(emp_db[[#This Row],[Exit Date]]),"")</f>
        <v>1900</v>
      </c>
      <c r="V114" s="42">
        <f>IFERROR(MONTH(emp_db[[#This Row],[Exit Date]]),"")</f>
        <v>1</v>
      </c>
    </row>
    <row r="115" spans="2:22">
      <c r="B115" s="39"/>
      <c r="C115" s="39"/>
      <c r="D115" s="39"/>
      <c r="E115" s="39"/>
      <c r="F115" s="40"/>
      <c r="G115" s="38"/>
      <c r="H115" s="43"/>
      <c r="I115" s="43"/>
      <c r="J115" s="39"/>
      <c r="K115" s="38"/>
      <c r="L115" s="39"/>
      <c r="M115" s="39"/>
      <c r="N115" s="43"/>
      <c r="O115" s="38"/>
      <c r="P115" s="38"/>
      <c r="Q115" s="41" t="str">
        <f ca="1">IF(emp_db[[#This Row],[Exit Date]]&lt;&gt;"",(emp_db[[#This Row],[Exit Date]]-emp_db[[#This Row],[Column1]])/365,IF(emp_db[[#This Row],[ID]]&lt;&gt;"",(TODAY()-emp_db[[#This Row],[Column1]])/365,""))</f>
        <v/>
      </c>
      <c r="R115" s="42" t="str">
        <f ca="1">IF(emp_db[[#This Row],[Date of Birth]]&lt;&gt;"",(TODAY()-emp_db[[#This Row],[Date of Birth]])/365,"")</f>
        <v/>
      </c>
      <c r="S115" s="42">
        <f>YEAR(emp_db[[#This Row],[Column1]])</f>
        <v>1900</v>
      </c>
      <c r="T115" s="42">
        <f>MONTH(emp_db[[#This Row],[Column1]])</f>
        <v>1</v>
      </c>
      <c r="U115" s="42">
        <f>IFERROR(YEAR(emp_db[[#This Row],[Exit Date]]),"")</f>
        <v>1900</v>
      </c>
      <c r="V115" s="42">
        <f>IFERROR(MONTH(emp_db[[#This Row],[Exit Date]]),"")</f>
        <v>1</v>
      </c>
    </row>
    <row r="116" spans="2:22">
      <c r="B116" s="39"/>
      <c r="C116" s="39"/>
      <c r="D116" s="39"/>
      <c r="E116" s="39"/>
      <c r="F116" s="40"/>
      <c r="G116" s="38"/>
      <c r="H116" s="43"/>
      <c r="I116" s="43"/>
      <c r="J116" s="39"/>
      <c r="K116" s="38"/>
      <c r="L116" s="39"/>
      <c r="M116" s="39"/>
      <c r="N116" s="43"/>
      <c r="O116" s="38"/>
      <c r="P116" s="38"/>
      <c r="Q116" s="41" t="str">
        <f ca="1">IF(emp_db[[#This Row],[Exit Date]]&lt;&gt;"",(emp_db[[#This Row],[Exit Date]]-emp_db[[#This Row],[Column1]])/365,IF(emp_db[[#This Row],[ID]]&lt;&gt;"",(TODAY()-emp_db[[#This Row],[Column1]])/365,""))</f>
        <v/>
      </c>
      <c r="R116" s="42" t="str">
        <f ca="1">IF(emp_db[[#This Row],[Date of Birth]]&lt;&gt;"",(TODAY()-emp_db[[#This Row],[Date of Birth]])/365,"")</f>
        <v/>
      </c>
      <c r="S116" s="42">
        <f>YEAR(emp_db[[#This Row],[Column1]])</f>
        <v>1900</v>
      </c>
      <c r="T116" s="42">
        <f>MONTH(emp_db[[#This Row],[Column1]])</f>
        <v>1</v>
      </c>
      <c r="U116" s="42">
        <f>IFERROR(YEAR(emp_db[[#This Row],[Exit Date]]),"")</f>
        <v>1900</v>
      </c>
      <c r="V116" s="42">
        <f>IFERROR(MONTH(emp_db[[#This Row],[Exit Date]]),"")</f>
        <v>1</v>
      </c>
    </row>
    <row r="117" spans="2:22">
      <c r="B117" s="39"/>
      <c r="C117" s="39"/>
      <c r="D117" s="39"/>
      <c r="E117" s="39"/>
      <c r="F117" s="40"/>
      <c r="G117" s="38"/>
      <c r="H117" s="43"/>
      <c r="I117" s="43"/>
      <c r="J117" s="39"/>
      <c r="K117" s="38"/>
      <c r="L117" s="39"/>
      <c r="M117" s="39"/>
      <c r="N117" s="43"/>
      <c r="O117" s="38"/>
      <c r="P117" s="38"/>
      <c r="Q117" s="41" t="str">
        <f ca="1">IF(emp_db[[#This Row],[Exit Date]]&lt;&gt;"",(emp_db[[#This Row],[Exit Date]]-emp_db[[#This Row],[Column1]])/365,IF(emp_db[[#This Row],[ID]]&lt;&gt;"",(TODAY()-emp_db[[#This Row],[Column1]])/365,""))</f>
        <v/>
      </c>
      <c r="R117" s="42" t="str">
        <f ca="1">IF(emp_db[[#This Row],[Date of Birth]]&lt;&gt;"",(TODAY()-emp_db[[#This Row],[Date of Birth]])/365,"")</f>
        <v/>
      </c>
      <c r="S117" s="42">
        <f>YEAR(emp_db[[#This Row],[Column1]])</f>
        <v>1900</v>
      </c>
      <c r="T117" s="42">
        <f>MONTH(emp_db[[#This Row],[Column1]])</f>
        <v>1</v>
      </c>
      <c r="U117" s="42">
        <f>IFERROR(YEAR(emp_db[[#This Row],[Exit Date]]),"")</f>
        <v>1900</v>
      </c>
      <c r="V117" s="42">
        <f>IFERROR(MONTH(emp_db[[#This Row],[Exit Date]]),"")</f>
        <v>1</v>
      </c>
    </row>
    <row r="118" spans="2:22">
      <c r="B118" s="39"/>
      <c r="C118" s="39"/>
      <c r="D118" s="39"/>
      <c r="E118" s="39"/>
      <c r="F118" s="40"/>
      <c r="G118" s="38"/>
      <c r="H118" s="43"/>
      <c r="I118" s="43"/>
      <c r="J118" s="39"/>
      <c r="K118" s="38"/>
      <c r="L118" s="39"/>
      <c r="M118" s="39"/>
      <c r="N118" s="43"/>
      <c r="O118" s="38"/>
      <c r="P118" s="38"/>
      <c r="Q118" s="41" t="str">
        <f ca="1">IF(emp_db[[#This Row],[Exit Date]]&lt;&gt;"",(emp_db[[#This Row],[Exit Date]]-emp_db[[#This Row],[Column1]])/365,IF(emp_db[[#This Row],[ID]]&lt;&gt;"",(TODAY()-emp_db[[#This Row],[Column1]])/365,""))</f>
        <v/>
      </c>
      <c r="R118" s="42" t="str">
        <f ca="1">IF(emp_db[[#This Row],[Date of Birth]]&lt;&gt;"",(TODAY()-emp_db[[#This Row],[Date of Birth]])/365,"")</f>
        <v/>
      </c>
      <c r="S118" s="42">
        <f>YEAR(emp_db[[#This Row],[Column1]])</f>
        <v>1900</v>
      </c>
      <c r="T118" s="42">
        <f>MONTH(emp_db[[#This Row],[Column1]])</f>
        <v>1</v>
      </c>
      <c r="U118" s="42">
        <f>IFERROR(YEAR(emp_db[[#This Row],[Exit Date]]),"")</f>
        <v>1900</v>
      </c>
      <c r="V118" s="42">
        <f>IFERROR(MONTH(emp_db[[#This Row],[Exit Date]]),"")</f>
        <v>1</v>
      </c>
    </row>
    <row r="119" spans="2:22">
      <c r="B119" s="39"/>
      <c r="C119" s="39"/>
      <c r="D119" s="39"/>
      <c r="E119" s="39"/>
      <c r="F119" s="40"/>
      <c r="G119" s="38"/>
      <c r="H119" s="43"/>
      <c r="I119" s="43"/>
      <c r="J119" s="39"/>
      <c r="K119" s="38"/>
      <c r="L119" s="39"/>
      <c r="M119" s="39"/>
      <c r="N119" s="43"/>
      <c r="O119" s="38"/>
      <c r="P119" s="38"/>
      <c r="Q119" s="41" t="str">
        <f ca="1">IF(emp_db[[#This Row],[Exit Date]]&lt;&gt;"",(emp_db[[#This Row],[Exit Date]]-emp_db[[#This Row],[Column1]])/365,IF(emp_db[[#This Row],[ID]]&lt;&gt;"",(TODAY()-emp_db[[#This Row],[Column1]])/365,""))</f>
        <v/>
      </c>
      <c r="R119" s="42" t="str">
        <f ca="1">IF(emp_db[[#This Row],[Date of Birth]]&lt;&gt;"",(TODAY()-emp_db[[#This Row],[Date of Birth]])/365,"")</f>
        <v/>
      </c>
      <c r="S119" s="42">
        <f>YEAR(emp_db[[#This Row],[Column1]])</f>
        <v>1900</v>
      </c>
      <c r="T119" s="42">
        <f>MONTH(emp_db[[#This Row],[Column1]])</f>
        <v>1</v>
      </c>
      <c r="U119" s="42">
        <f>IFERROR(YEAR(emp_db[[#This Row],[Exit Date]]),"")</f>
        <v>1900</v>
      </c>
      <c r="V119" s="42">
        <f>IFERROR(MONTH(emp_db[[#This Row],[Exit Date]]),"")</f>
        <v>1</v>
      </c>
    </row>
    <row r="120" spans="2:22">
      <c r="B120" s="39"/>
      <c r="C120" s="39"/>
      <c r="D120" s="39"/>
      <c r="E120" s="39"/>
      <c r="F120" s="40"/>
      <c r="G120" s="38"/>
      <c r="H120" s="43"/>
      <c r="I120" s="43"/>
      <c r="J120" s="39"/>
      <c r="K120" s="38"/>
      <c r="L120" s="39"/>
      <c r="M120" s="39"/>
      <c r="N120" s="43"/>
      <c r="O120" s="38"/>
      <c r="P120" s="38"/>
      <c r="Q120" s="41" t="str">
        <f ca="1">IF(emp_db[[#This Row],[Exit Date]]&lt;&gt;"",(emp_db[[#This Row],[Exit Date]]-emp_db[[#This Row],[Column1]])/365,IF(emp_db[[#This Row],[ID]]&lt;&gt;"",(TODAY()-emp_db[[#This Row],[Column1]])/365,""))</f>
        <v/>
      </c>
      <c r="R120" s="42" t="str">
        <f ca="1">IF(emp_db[[#This Row],[Date of Birth]]&lt;&gt;"",(TODAY()-emp_db[[#This Row],[Date of Birth]])/365,"")</f>
        <v/>
      </c>
      <c r="S120" s="42">
        <f>YEAR(emp_db[[#This Row],[Column1]])</f>
        <v>1900</v>
      </c>
      <c r="T120" s="42">
        <f>MONTH(emp_db[[#This Row],[Column1]])</f>
        <v>1</v>
      </c>
      <c r="U120" s="42">
        <f>IFERROR(YEAR(emp_db[[#This Row],[Exit Date]]),"")</f>
        <v>1900</v>
      </c>
      <c r="V120" s="42">
        <f>IFERROR(MONTH(emp_db[[#This Row],[Exit Date]]),"")</f>
        <v>1</v>
      </c>
    </row>
    <row r="121" spans="2:22">
      <c r="B121" s="39"/>
      <c r="C121" s="39"/>
      <c r="D121" s="39"/>
      <c r="E121" s="39"/>
      <c r="F121" s="40"/>
      <c r="G121" s="38"/>
      <c r="H121" s="43"/>
      <c r="I121" s="43"/>
      <c r="J121" s="39"/>
      <c r="K121" s="38"/>
      <c r="L121" s="39"/>
      <c r="M121" s="39"/>
      <c r="N121" s="43"/>
      <c r="O121" s="38"/>
      <c r="P121" s="38"/>
      <c r="Q121" s="41" t="str">
        <f ca="1">IF(emp_db[[#This Row],[Exit Date]]&lt;&gt;"",(emp_db[[#This Row],[Exit Date]]-emp_db[[#This Row],[Column1]])/365,IF(emp_db[[#This Row],[ID]]&lt;&gt;"",(TODAY()-emp_db[[#This Row],[Column1]])/365,""))</f>
        <v/>
      </c>
      <c r="R121" s="42" t="str">
        <f ca="1">IF(emp_db[[#This Row],[Date of Birth]]&lt;&gt;"",(TODAY()-emp_db[[#This Row],[Date of Birth]])/365,"")</f>
        <v/>
      </c>
      <c r="S121" s="42">
        <f>YEAR(emp_db[[#This Row],[Column1]])</f>
        <v>1900</v>
      </c>
      <c r="T121" s="42">
        <f>MONTH(emp_db[[#This Row],[Column1]])</f>
        <v>1</v>
      </c>
      <c r="U121" s="42">
        <f>IFERROR(YEAR(emp_db[[#This Row],[Exit Date]]),"")</f>
        <v>1900</v>
      </c>
      <c r="V121" s="42">
        <f>IFERROR(MONTH(emp_db[[#This Row],[Exit Date]]),"")</f>
        <v>1</v>
      </c>
    </row>
    <row r="122" spans="2:22">
      <c r="B122" s="39"/>
      <c r="C122" s="39"/>
      <c r="D122" s="39"/>
      <c r="E122" s="39"/>
      <c r="F122" s="40"/>
      <c r="G122" s="38"/>
      <c r="H122" s="43"/>
      <c r="I122" s="43"/>
      <c r="J122" s="39"/>
      <c r="K122" s="38"/>
      <c r="L122" s="39"/>
      <c r="M122" s="39"/>
      <c r="N122" s="43"/>
      <c r="O122" s="38"/>
      <c r="P122" s="38"/>
      <c r="Q122" s="41" t="str">
        <f ca="1">IF(emp_db[[#This Row],[Exit Date]]&lt;&gt;"",(emp_db[[#This Row],[Exit Date]]-emp_db[[#This Row],[Column1]])/365,IF(emp_db[[#This Row],[ID]]&lt;&gt;"",(TODAY()-emp_db[[#This Row],[Column1]])/365,""))</f>
        <v/>
      </c>
      <c r="R122" s="42" t="str">
        <f ca="1">IF(emp_db[[#This Row],[Date of Birth]]&lt;&gt;"",(TODAY()-emp_db[[#This Row],[Date of Birth]])/365,"")</f>
        <v/>
      </c>
      <c r="S122" s="42">
        <f>YEAR(emp_db[[#This Row],[Column1]])</f>
        <v>1900</v>
      </c>
      <c r="T122" s="42">
        <f>MONTH(emp_db[[#This Row],[Column1]])</f>
        <v>1</v>
      </c>
      <c r="U122" s="42">
        <f>IFERROR(YEAR(emp_db[[#This Row],[Exit Date]]),"")</f>
        <v>1900</v>
      </c>
      <c r="V122" s="42">
        <f>IFERROR(MONTH(emp_db[[#This Row],[Exit Date]]),"")</f>
        <v>1</v>
      </c>
    </row>
    <row r="123" spans="2:22">
      <c r="B123" s="39"/>
      <c r="C123" s="39"/>
      <c r="D123" s="39"/>
      <c r="E123" s="39"/>
      <c r="F123" s="40"/>
      <c r="G123" s="38"/>
      <c r="H123" s="43"/>
      <c r="I123" s="43"/>
      <c r="J123" s="39"/>
      <c r="K123" s="38"/>
      <c r="L123" s="39"/>
      <c r="M123" s="39"/>
      <c r="N123" s="43"/>
      <c r="O123" s="38"/>
      <c r="P123" s="38"/>
      <c r="Q123" s="41" t="str">
        <f ca="1">IF(emp_db[[#This Row],[Exit Date]]&lt;&gt;"",(emp_db[[#This Row],[Exit Date]]-emp_db[[#This Row],[Column1]])/365,IF(emp_db[[#This Row],[ID]]&lt;&gt;"",(TODAY()-emp_db[[#This Row],[Column1]])/365,""))</f>
        <v/>
      </c>
      <c r="R123" s="42" t="str">
        <f ca="1">IF(emp_db[[#This Row],[Date of Birth]]&lt;&gt;"",(TODAY()-emp_db[[#This Row],[Date of Birth]])/365,"")</f>
        <v/>
      </c>
      <c r="S123" s="42">
        <f>YEAR(emp_db[[#This Row],[Column1]])</f>
        <v>1900</v>
      </c>
      <c r="T123" s="42">
        <f>MONTH(emp_db[[#This Row],[Column1]])</f>
        <v>1</v>
      </c>
      <c r="U123" s="42">
        <f>IFERROR(YEAR(emp_db[[#This Row],[Exit Date]]),"")</f>
        <v>1900</v>
      </c>
      <c r="V123" s="42">
        <f>IFERROR(MONTH(emp_db[[#This Row],[Exit Date]]),"")</f>
        <v>1</v>
      </c>
    </row>
    <row r="124" spans="2:22">
      <c r="B124" s="39"/>
      <c r="C124" s="39"/>
      <c r="D124" s="39"/>
      <c r="E124" s="39"/>
      <c r="F124" s="40"/>
      <c r="G124" s="38"/>
      <c r="H124" s="43"/>
      <c r="I124" s="43"/>
      <c r="J124" s="39"/>
      <c r="K124" s="38"/>
      <c r="L124" s="39"/>
      <c r="M124" s="39"/>
      <c r="N124" s="43"/>
      <c r="O124" s="38"/>
      <c r="P124" s="38"/>
      <c r="Q124" s="41" t="str">
        <f ca="1">IF(emp_db[[#This Row],[Exit Date]]&lt;&gt;"",(emp_db[[#This Row],[Exit Date]]-emp_db[[#This Row],[Column1]])/365,IF(emp_db[[#This Row],[ID]]&lt;&gt;"",(TODAY()-emp_db[[#This Row],[Column1]])/365,""))</f>
        <v/>
      </c>
      <c r="R124" s="42" t="str">
        <f ca="1">IF(emp_db[[#This Row],[Date of Birth]]&lt;&gt;"",(TODAY()-emp_db[[#This Row],[Date of Birth]])/365,"")</f>
        <v/>
      </c>
      <c r="S124" s="42">
        <f>YEAR(emp_db[[#This Row],[Column1]])</f>
        <v>1900</v>
      </c>
      <c r="T124" s="42">
        <f>MONTH(emp_db[[#This Row],[Column1]])</f>
        <v>1</v>
      </c>
      <c r="U124" s="42">
        <f>IFERROR(YEAR(emp_db[[#This Row],[Exit Date]]),"")</f>
        <v>1900</v>
      </c>
      <c r="V124" s="42">
        <f>IFERROR(MONTH(emp_db[[#This Row],[Exit Date]]),"")</f>
        <v>1</v>
      </c>
    </row>
    <row r="125" spans="2:22">
      <c r="B125" s="39"/>
      <c r="C125" s="39"/>
      <c r="D125" s="39"/>
      <c r="E125" s="39"/>
      <c r="F125" s="40"/>
      <c r="G125" s="38"/>
      <c r="H125" s="43"/>
      <c r="I125" s="43"/>
      <c r="J125" s="39"/>
      <c r="K125" s="38"/>
      <c r="L125" s="39"/>
      <c r="M125" s="39"/>
      <c r="N125" s="43"/>
      <c r="O125" s="38"/>
      <c r="P125" s="38"/>
      <c r="Q125" s="41" t="str">
        <f ca="1">IF(emp_db[[#This Row],[Exit Date]]&lt;&gt;"",(emp_db[[#This Row],[Exit Date]]-emp_db[[#This Row],[Column1]])/365,IF(emp_db[[#This Row],[ID]]&lt;&gt;"",(TODAY()-emp_db[[#This Row],[Column1]])/365,""))</f>
        <v/>
      </c>
      <c r="R125" s="42" t="str">
        <f ca="1">IF(emp_db[[#This Row],[Date of Birth]]&lt;&gt;"",(TODAY()-emp_db[[#This Row],[Date of Birth]])/365,"")</f>
        <v/>
      </c>
      <c r="S125" s="42">
        <f>YEAR(emp_db[[#This Row],[Column1]])</f>
        <v>1900</v>
      </c>
      <c r="T125" s="42">
        <f>MONTH(emp_db[[#This Row],[Column1]])</f>
        <v>1</v>
      </c>
      <c r="U125" s="42">
        <f>IFERROR(YEAR(emp_db[[#This Row],[Exit Date]]),"")</f>
        <v>1900</v>
      </c>
      <c r="V125" s="42">
        <f>IFERROR(MONTH(emp_db[[#This Row],[Exit Date]]),"")</f>
        <v>1</v>
      </c>
    </row>
    <row r="126" spans="2:22">
      <c r="B126" s="39"/>
      <c r="C126" s="39"/>
      <c r="D126" s="39"/>
      <c r="E126" s="39"/>
      <c r="F126" s="40"/>
      <c r="G126" s="38"/>
      <c r="H126" s="43"/>
      <c r="I126" s="43"/>
      <c r="J126" s="39"/>
      <c r="K126" s="38"/>
      <c r="L126" s="39"/>
      <c r="M126" s="39"/>
      <c r="N126" s="43"/>
      <c r="O126" s="38"/>
      <c r="P126" s="38"/>
      <c r="Q126" s="41" t="str">
        <f ca="1">IF(emp_db[[#This Row],[Exit Date]]&lt;&gt;"",(emp_db[[#This Row],[Exit Date]]-emp_db[[#This Row],[Column1]])/365,IF(emp_db[[#This Row],[ID]]&lt;&gt;"",(TODAY()-emp_db[[#This Row],[Column1]])/365,""))</f>
        <v/>
      </c>
      <c r="R126" s="42" t="str">
        <f ca="1">IF(emp_db[[#This Row],[Date of Birth]]&lt;&gt;"",(TODAY()-emp_db[[#This Row],[Date of Birth]])/365,"")</f>
        <v/>
      </c>
      <c r="S126" s="42">
        <f>YEAR(emp_db[[#This Row],[Column1]])</f>
        <v>1900</v>
      </c>
      <c r="T126" s="42">
        <f>MONTH(emp_db[[#This Row],[Column1]])</f>
        <v>1</v>
      </c>
      <c r="U126" s="42">
        <f>IFERROR(YEAR(emp_db[[#This Row],[Exit Date]]),"")</f>
        <v>1900</v>
      </c>
      <c r="V126" s="42">
        <f>IFERROR(MONTH(emp_db[[#This Row],[Exit Date]]),"")</f>
        <v>1</v>
      </c>
    </row>
    <row r="127" spans="2:22">
      <c r="B127" s="39"/>
      <c r="C127" s="39"/>
      <c r="D127" s="39"/>
      <c r="E127" s="39"/>
      <c r="F127" s="40"/>
      <c r="G127" s="38"/>
      <c r="H127" s="43"/>
      <c r="I127" s="43"/>
      <c r="J127" s="39"/>
      <c r="K127" s="38"/>
      <c r="L127" s="39"/>
      <c r="M127" s="39"/>
      <c r="N127" s="43"/>
      <c r="O127" s="38"/>
      <c r="P127" s="38"/>
      <c r="Q127" s="41" t="str">
        <f ca="1">IF(emp_db[[#This Row],[Exit Date]]&lt;&gt;"",(emp_db[[#This Row],[Exit Date]]-emp_db[[#This Row],[Column1]])/365,IF(emp_db[[#This Row],[ID]]&lt;&gt;"",(TODAY()-emp_db[[#This Row],[Column1]])/365,""))</f>
        <v/>
      </c>
      <c r="R127" s="42" t="str">
        <f ca="1">IF(emp_db[[#This Row],[Date of Birth]]&lt;&gt;"",(TODAY()-emp_db[[#This Row],[Date of Birth]])/365,"")</f>
        <v/>
      </c>
      <c r="S127" s="42">
        <f>YEAR(emp_db[[#This Row],[Column1]])</f>
        <v>1900</v>
      </c>
      <c r="T127" s="42">
        <f>MONTH(emp_db[[#This Row],[Column1]])</f>
        <v>1</v>
      </c>
      <c r="U127" s="42">
        <f>IFERROR(YEAR(emp_db[[#This Row],[Exit Date]]),"")</f>
        <v>1900</v>
      </c>
      <c r="V127" s="42">
        <f>IFERROR(MONTH(emp_db[[#This Row],[Exit Date]]),"")</f>
        <v>1</v>
      </c>
    </row>
    <row r="128" spans="2:22">
      <c r="B128" s="39"/>
      <c r="C128" s="39"/>
      <c r="D128" s="39"/>
      <c r="E128" s="39"/>
      <c r="F128" s="40"/>
      <c r="G128" s="38"/>
      <c r="H128" s="43"/>
      <c r="I128" s="43"/>
      <c r="J128" s="39"/>
      <c r="K128" s="38"/>
      <c r="L128" s="39"/>
      <c r="M128" s="39"/>
      <c r="N128" s="43"/>
      <c r="O128" s="38"/>
      <c r="P128" s="38"/>
      <c r="Q128" s="41" t="str">
        <f ca="1">IF(emp_db[[#This Row],[Exit Date]]&lt;&gt;"",(emp_db[[#This Row],[Exit Date]]-emp_db[[#This Row],[Column1]])/365,IF(emp_db[[#This Row],[ID]]&lt;&gt;"",(TODAY()-emp_db[[#This Row],[Column1]])/365,""))</f>
        <v/>
      </c>
      <c r="R128" s="42" t="str">
        <f ca="1">IF(emp_db[[#This Row],[Date of Birth]]&lt;&gt;"",(TODAY()-emp_db[[#This Row],[Date of Birth]])/365,"")</f>
        <v/>
      </c>
      <c r="S128" s="42">
        <f>YEAR(emp_db[[#This Row],[Column1]])</f>
        <v>1900</v>
      </c>
      <c r="T128" s="42">
        <f>MONTH(emp_db[[#This Row],[Column1]])</f>
        <v>1</v>
      </c>
      <c r="U128" s="42">
        <f>IFERROR(YEAR(emp_db[[#This Row],[Exit Date]]),"")</f>
        <v>1900</v>
      </c>
      <c r="V128" s="42">
        <f>IFERROR(MONTH(emp_db[[#This Row],[Exit Date]]),"")</f>
        <v>1</v>
      </c>
    </row>
    <row r="129" spans="2:22">
      <c r="B129" s="39"/>
      <c r="C129" s="39"/>
      <c r="D129" s="39"/>
      <c r="E129" s="39"/>
      <c r="F129" s="40"/>
      <c r="G129" s="38"/>
      <c r="H129" s="43"/>
      <c r="I129" s="43"/>
      <c r="J129" s="39"/>
      <c r="K129" s="38"/>
      <c r="L129" s="39"/>
      <c r="M129" s="39"/>
      <c r="N129" s="43"/>
      <c r="O129" s="38"/>
      <c r="P129" s="38"/>
      <c r="Q129" s="41" t="str">
        <f ca="1">IF(emp_db[[#This Row],[Exit Date]]&lt;&gt;"",(emp_db[[#This Row],[Exit Date]]-emp_db[[#This Row],[Column1]])/365,IF(emp_db[[#This Row],[ID]]&lt;&gt;"",(TODAY()-emp_db[[#This Row],[Column1]])/365,""))</f>
        <v/>
      </c>
      <c r="R129" s="42" t="str">
        <f ca="1">IF(emp_db[[#This Row],[Date of Birth]]&lt;&gt;"",(TODAY()-emp_db[[#This Row],[Date of Birth]])/365,"")</f>
        <v/>
      </c>
      <c r="S129" s="42">
        <f>YEAR(emp_db[[#This Row],[Column1]])</f>
        <v>1900</v>
      </c>
      <c r="T129" s="42">
        <f>MONTH(emp_db[[#This Row],[Column1]])</f>
        <v>1</v>
      </c>
      <c r="U129" s="42">
        <f>IFERROR(YEAR(emp_db[[#This Row],[Exit Date]]),"")</f>
        <v>1900</v>
      </c>
      <c r="V129" s="42">
        <f>IFERROR(MONTH(emp_db[[#This Row],[Exit Date]]),"")</f>
        <v>1</v>
      </c>
    </row>
    <row r="130" spans="2:22">
      <c r="B130" s="39"/>
      <c r="C130" s="39"/>
      <c r="D130" s="39"/>
      <c r="E130" s="39"/>
      <c r="F130" s="40"/>
      <c r="G130" s="38"/>
      <c r="H130" s="43"/>
      <c r="I130" s="43"/>
      <c r="J130" s="39"/>
      <c r="K130" s="38"/>
      <c r="L130" s="39"/>
      <c r="M130" s="39"/>
      <c r="N130" s="43"/>
      <c r="O130" s="38"/>
      <c r="P130" s="38"/>
      <c r="Q130" s="41" t="str">
        <f ca="1">IF(emp_db[[#This Row],[Exit Date]]&lt;&gt;"",(emp_db[[#This Row],[Exit Date]]-emp_db[[#This Row],[Column1]])/365,IF(emp_db[[#This Row],[ID]]&lt;&gt;"",(TODAY()-emp_db[[#This Row],[Column1]])/365,""))</f>
        <v/>
      </c>
      <c r="R130" s="42" t="str">
        <f ca="1">IF(emp_db[[#This Row],[Date of Birth]]&lt;&gt;"",(TODAY()-emp_db[[#This Row],[Date of Birth]])/365,"")</f>
        <v/>
      </c>
      <c r="S130" s="42">
        <f>YEAR(emp_db[[#This Row],[Column1]])</f>
        <v>1900</v>
      </c>
      <c r="T130" s="42">
        <f>MONTH(emp_db[[#This Row],[Column1]])</f>
        <v>1</v>
      </c>
      <c r="U130" s="42">
        <f>IFERROR(YEAR(emp_db[[#This Row],[Exit Date]]),"")</f>
        <v>1900</v>
      </c>
      <c r="V130" s="42">
        <f>IFERROR(MONTH(emp_db[[#This Row],[Exit Date]]),"")</f>
        <v>1</v>
      </c>
    </row>
    <row r="131" spans="2:22">
      <c r="B131" s="39"/>
      <c r="C131" s="39"/>
      <c r="D131" s="39"/>
      <c r="E131" s="39"/>
      <c r="F131" s="40"/>
      <c r="G131" s="38"/>
      <c r="H131" s="43"/>
      <c r="I131" s="43"/>
      <c r="J131" s="39"/>
      <c r="K131" s="38"/>
      <c r="L131" s="39"/>
      <c r="M131" s="39"/>
      <c r="N131" s="43"/>
      <c r="O131" s="38"/>
      <c r="P131" s="38"/>
      <c r="Q131" s="41" t="str">
        <f ca="1">IF(emp_db[[#This Row],[Exit Date]]&lt;&gt;"",(emp_db[[#This Row],[Exit Date]]-emp_db[[#This Row],[Column1]])/365,IF(emp_db[[#This Row],[ID]]&lt;&gt;"",(TODAY()-emp_db[[#This Row],[Column1]])/365,""))</f>
        <v/>
      </c>
      <c r="R131" s="42" t="str">
        <f ca="1">IF(emp_db[[#This Row],[Date of Birth]]&lt;&gt;"",(TODAY()-emp_db[[#This Row],[Date of Birth]])/365,"")</f>
        <v/>
      </c>
      <c r="S131" s="42">
        <f>YEAR(emp_db[[#This Row],[Column1]])</f>
        <v>1900</v>
      </c>
      <c r="T131" s="42">
        <f>MONTH(emp_db[[#This Row],[Column1]])</f>
        <v>1</v>
      </c>
      <c r="U131" s="42">
        <f>IFERROR(YEAR(emp_db[[#This Row],[Exit Date]]),"")</f>
        <v>1900</v>
      </c>
      <c r="V131" s="42">
        <f>IFERROR(MONTH(emp_db[[#This Row],[Exit Date]]),"")</f>
        <v>1</v>
      </c>
    </row>
    <row r="132" spans="2:22">
      <c r="B132" s="39"/>
      <c r="C132" s="39"/>
      <c r="D132" s="39"/>
      <c r="E132" s="39"/>
      <c r="F132" s="40"/>
      <c r="G132" s="38"/>
      <c r="H132" s="43"/>
      <c r="I132" s="43"/>
      <c r="J132" s="39"/>
      <c r="K132" s="38"/>
      <c r="L132" s="39"/>
      <c r="M132" s="39"/>
      <c r="N132" s="43"/>
      <c r="O132" s="38"/>
      <c r="P132" s="38"/>
      <c r="Q132" s="41" t="str">
        <f ca="1">IF(emp_db[[#This Row],[Exit Date]]&lt;&gt;"",(emp_db[[#This Row],[Exit Date]]-emp_db[[#This Row],[Column1]])/365,IF(emp_db[[#This Row],[ID]]&lt;&gt;"",(TODAY()-emp_db[[#This Row],[Column1]])/365,""))</f>
        <v/>
      </c>
      <c r="R132" s="42" t="str">
        <f ca="1">IF(emp_db[[#This Row],[Date of Birth]]&lt;&gt;"",(TODAY()-emp_db[[#This Row],[Date of Birth]])/365,"")</f>
        <v/>
      </c>
      <c r="S132" s="42">
        <f>YEAR(emp_db[[#This Row],[Column1]])</f>
        <v>1900</v>
      </c>
      <c r="T132" s="42">
        <f>MONTH(emp_db[[#This Row],[Column1]])</f>
        <v>1</v>
      </c>
      <c r="U132" s="42">
        <f>IFERROR(YEAR(emp_db[[#This Row],[Exit Date]]),"")</f>
        <v>1900</v>
      </c>
      <c r="V132" s="42">
        <f>IFERROR(MONTH(emp_db[[#This Row],[Exit Date]]),"")</f>
        <v>1</v>
      </c>
    </row>
    <row r="133" spans="2:22">
      <c r="B133" s="39"/>
      <c r="C133" s="39"/>
      <c r="D133" s="39"/>
      <c r="E133" s="39"/>
      <c r="F133" s="40"/>
      <c r="G133" s="38"/>
      <c r="H133" s="43"/>
      <c r="I133" s="43"/>
      <c r="J133" s="39"/>
      <c r="K133" s="38"/>
      <c r="L133" s="39"/>
      <c r="M133" s="39"/>
      <c r="N133" s="43"/>
      <c r="O133" s="38"/>
      <c r="P133" s="38"/>
      <c r="Q133" s="41" t="str">
        <f ca="1">IF(emp_db[[#This Row],[Exit Date]]&lt;&gt;"",(emp_db[[#This Row],[Exit Date]]-emp_db[[#This Row],[Column1]])/365,IF(emp_db[[#This Row],[ID]]&lt;&gt;"",(TODAY()-emp_db[[#This Row],[Column1]])/365,""))</f>
        <v/>
      </c>
      <c r="R133" s="42" t="str">
        <f ca="1">IF(emp_db[[#This Row],[Date of Birth]]&lt;&gt;"",(TODAY()-emp_db[[#This Row],[Date of Birth]])/365,"")</f>
        <v/>
      </c>
      <c r="S133" s="42">
        <f>YEAR(emp_db[[#This Row],[Column1]])</f>
        <v>1900</v>
      </c>
      <c r="T133" s="42">
        <f>MONTH(emp_db[[#This Row],[Column1]])</f>
        <v>1</v>
      </c>
      <c r="U133" s="42">
        <f>IFERROR(YEAR(emp_db[[#This Row],[Exit Date]]),"")</f>
        <v>1900</v>
      </c>
      <c r="V133" s="42">
        <f>IFERROR(MONTH(emp_db[[#This Row],[Exit Date]]),"")</f>
        <v>1</v>
      </c>
    </row>
    <row r="134" spans="2:22">
      <c r="B134" s="39"/>
      <c r="C134" s="39"/>
      <c r="D134" s="39"/>
      <c r="E134" s="39"/>
      <c r="F134" s="40"/>
      <c r="G134" s="38"/>
      <c r="H134" s="43"/>
      <c r="I134" s="43"/>
      <c r="J134" s="39"/>
      <c r="K134" s="38"/>
      <c r="L134" s="39"/>
      <c r="M134" s="39"/>
      <c r="N134" s="43"/>
      <c r="O134" s="38"/>
      <c r="P134" s="38"/>
      <c r="Q134" s="41" t="str">
        <f ca="1">IF(emp_db[[#This Row],[Exit Date]]&lt;&gt;"",(emp_db[[#This Row],[Exit Date]]-emp_db[[#This Row],[Column1]])/365,IF(emp_db[[#This Row],[ID]]&lt;&gt;"",(TODAY()-emp_db[[#This Row],[Column1]])/365,""))</f>
        <v/>
      </c>
      <c r="R134" s="42" t="str">
        <f ca="1">IF(emp_db[[#This Row],[Date of Birth]]&lt;&gt;"",(TODAY()-emp_db[[#This Row],[Date of Birth]])/365,"")</f>
        <v/>
      </c>
      <c r="S134" s="42">
        <f>YEAR(emp_db[[#This Row],[Column1]])</f>
        <v>1900</v>
      </c>
      <c r="T134" s="42">
        <f>MONTH(emp_db[[#This Row],[Column1]])</f>
        <v>1</v>
      </c>
      <c r="U134" s="42">
        <f>IFERROR(YEAR(emp_db[[#This Row],[Exit Date]]),"")</f>
        <v>1900</v>
      </c>
      <c r="V134" s="42">
        <f>IFERROR(MONTH(emp_db[[#This Row],[Exit Date]]),"")</f>
        <v>1</v>
      </c>
    </row>
    <row r="135" spans="2:22">
      <c r="B135" s="39"/>
      <c r="C135" s="39"/>
      <c r="D135" s="39"/>
      <c r="E135" s="39"/>
      <c r="F135" s="40"/>
      <c r="G135" s="38"/>
      <c r="H135" s="43"/>
      <c r="I135" s="43"/>
      <c r="J135" s="39"/>
      <c r="K135" s="38"/>
      <c r="L135" s="39"/>
      <c r="M135" s="39"/>
      <c r="N135" s="43"/>
      <c r="O135" s="38"/>
      <c r="P135" s="38"/>
      <c r="Q135" s="41" t="str">
        <f ca="1">IF(emp_db[[#This Row],[Exit Date]]&lt;&gt;"",(emp_db[[#This Row],[Exit Date]]-emp_db[[#This Row],[Column1]])/365,IF(emp_db[[#This Row],[ID]]&lt;&gt;"",(TODAY()-emp_db[[#This Row],[Column1]])/365,""))</f>
        <v/>
      </c>
      <c r="R135" s="42" t="str">
        <f ca="1">IF(emp_db[[#This Row],[Date of Birth]]&lt;&gt;"",(TODAY()-emp_db[[#This Row],[Date of Birth]])/365,"")</f>
        <v/>
      </c>
      <c r="S135" s="42">
        <f>YEAR(emp_db[[#This Row],[Column1]])</f>
        <v>1900</v>
      </c>
      <c r="T135" s="42">
        <f>MONTH(emp_db[[#This Row],[Column1]])</f>
        <v>1</v>
      </c>
      <c r="U135" s="42">
        <f>IFERROR(YEAR(emp_db[[#This Row],[Exit Date]]),"")</f>
        <v>1900</v>
      </c>
      <c r="V135" s="42">
        <f>IFERROR(MONTH(emp_db[[#This Row],[Exit Date]]),"")</f>
        <v>1</v>
      </c>
    </row>
    <row r="136" spans="2:22">
      <c r="B136" s="39"/>
      <c r="C136" s="39"/>
      <c r="D136" s="39"/>
      <c r="E136" s="39"/>
      <c r="F136" s="40"/>
      <c r="G136" s="38"/>
      <c r="H136" s="43"/>
      <c r="I136" s="43"/>
      <c r="J136" s="39"/>
      <c r="K136" s="38"/>
      <c r="L136" s="39"/>
      <c r="M136" s="39"/>
      <c r="N136" s="43"/>
      <c r="O136" s="38"/>
      <c r="P136" s="38"/>
      <c r="Q136" s="41" t="str">
        <f ca="1">IF(emp_db[[#This Row],[Exit Date]]&lt;&gt;"",(emp_db[[#This Row],[Exit Date]]-emp_db[[#This Row],[Column1]])/365,IF(emp_db[[#This Row],[ID]]&lt;&gt;"",(TODAY()-emp_db[[#This Row],[Column1]])/365,""))</f>
        <v/>
      </c>
      <c r="R136" s="42" t="str">
        <f ca="1">IF(emp_db[[#This Row],[Date of Birth]]&lt;&gt;"",(TODAY()-emp_db[[#This Row],[Date of Birth]])/365,"")</f>
        <v/>
      </c>
      <c r="S136" s="42">
        <f>YEAR(emp_db[[#This Row],[Column1]])</f>
        <v>1900</v>
      </c>
      <c r="T136" s="42">
        <f>MONTH(emp_db[[#This Row],[Column1]])</f>
        <v>1</v>
      </c>
      <c r="U136" s="42">
        <f>IFERROR(YEAR(emp_db[[#This Row],[Exit Date]]),"")</f>
        <v>1900</v>
      </c>
      <c r="V136" s="42">
        <f>IFERROR(MONTH(emp_db[[#This Row],[Exit Date]]),"")</f>
        <v>1</v>
      </c>
    </row>
    <row r="137" spans="2:22">
      <c r="B137" s="39"/>
      <c r="C137" s="39"/>
      <c r="D137" s="39"/>
      <c r="E137" s="39"/>
      <c r="F137" s="40"/>
      <c r="G137" s="38"/>
      <c r="H137" s="43"/>
      <c r="I137" s="43"/>
      <c r="J137" s="39"/>
      <c r="K137" s="38"/>
      <c r="L137" s="39"/>
      <c r="M137" s="39"/>
      <c r="N137" s="43"/>
      <c r="O137" s="38"/>
      <c r="P137" s="38"/>
      <c r="Q137" s="41" t="str">
        <f ca="1">IF(emp_db[[#This Row],[Exit Date]]&lt;&gt;"",(emp_db[[#This Row],[Exit Date]]-emp_db[[#This Row],[Column1]])/365,IF(emp_db[[#This Row],[ID]]&lt;&gt;"",(TODAY()-emp_db[[#This Row],[Column1]])/365,""))</f>
        <v/>
      </c>
      <c r="R137" s="42" t="str">
        <f ca="1">IF(emp_db[[#This Row],[Date of Birth]]&lt;&gt;"",(TODAY()-emp_db[[#This Row],[Date of Birth]])/365,"")</f>
        <v/>
      </c>
      <c r="S137" s="42">
        <f>YEAR(emp_db[[#This Row],[Column1]])</f>
        <v>1900</v>
      </c>
      <c r="T137" s="42">
        <f>MONTH(emp_db[[#This Row],[Column1]])</f>
        <v>1</v>
      </c>
      <c r="U137" s="42">
        <f>IFERROR(YEAR(emp_db[[#This Row],[Exit Date]]),"")</f>
        <v>1900</v>
      </c>
      <c r="V137" s="42">
        <f>IFERROR(MONTH(emp_db[[#This Row],[Exit Date]]),"")</f>
        <v>1</v>
      </c>
    </row>
    <row r="138" spans="2:22">
      <c r="B138" s="39"/>
      <c r="C138" s="39"/>
      <c r="D138" s="39"/>
      <c r="E138" s="39"/>
      <c r="F138" s="40"/>
      <c r="G138" s="38"/>
      <c r="H138" s="43"/>
      <c r="I138" s="43"/>
      <c r="J138" s="39"/>
      <c r="K138" s="38"/>
      <c r="L138" s="39"/>
      <c r="M138" s="39"/>
      <c r="N138" s="43"/>
      <c r="O138" s="38"/>
      <c r="P138" s="38"/>
      <c r="Q138" s="41" t="str">
        <f ca="1">IF(emp_db[[#This Row],[Exit Date]]&lt;&gt;"",(emp_db[[#This Row],[Exit Date]]-emp_db[[#This Row],[Column1]])/365,IF(emp_db[[#This Row],[ID]]&lt;&gt;"",(TODAY()-emp_db[[#This Row],[Column1]])/365,""))</f>
        <v/>
      </c>
      <c r="R138" s="42" t="str">
        <f ca="1">IF(emp_db[[#This Row],[Date of Birth]]&lt;&gt;"",(TODAY()-emp_db[[#This Row],[Date of Birth]])/365,"")</f>
        <v/>
      </c>
      <c r="S138" s="42">
        <f>YEAR(emp_db[[#This Row],[Column1]])</f>
        <v>1900</v>
      </c>
      <c r="T138" s="42">
        <f>MONTH(emp_db[[#This Row],[Column1]])</f>
        <v>1</v>
      </c>
      <c r="U138" s="42">
        <f>IFERROR(YEAR(emp_db[[#This Row],[Exit Date]]),"")</f>
        <v>1900</v>
      </c>
      <c r="V138" s="42">
        <f>IFERROR(MONTH(emp_db[[#This Row],[Exit Date]]),"")</f>
        <v>1</v>
      </c>
    </row>
    <row r="139" spans="2:22">
      <c r="B139" s="39"/>
      <c r="C139" s="39"/>
      <c r="D139" s="39"/>
      <c r="E139" s="39"/>
      <c r="F139" s="40"/>
      <c r="G139" s="38"/>
      <c r="H139" s="43"/>
      <c r="I139" s="43"/>
      <c r="J139" s="39"/>
      <c r="K139" s="38"/>
      <c r="L139" s="39"/>
      <c r="M139" s="39"/>
      <c r="N139" s="43"/>
      <c r="O139" s="38"/>
      <c r="P139" s="38"/>
      <c r="Q139" s="41" t="str">
        <f ca="1">IF(emp_db[[#This Row],[Exit Date]]&lt;&gt;"",(emp_db[[#This Row],[Exit Date]]-emp_db[[#This Row],[Column1]])/365,IF(emp_db[[#This Row],[ID]]&lt;&gt;"",(TODAY()-emp_db[[#This Row],[Column1]])/365,""))</f>
        <v/>
      </c>
      <c r="R139" s="42" t="str">
        <f ca="1">IF(emp_db[[#This Row],[Date of Birth]]&lt;&gt;"",(TODAY()-emp_db[[#This Row],[Date of Birth]])/365,"")</f>
        <v/>
      </c>
      <c r="S139" s="42">
        <f>YEAR(emp_db[[#This Row],[Column1]])</f>
        <v>1900</v>
      </c>
      <c r="T139" s="42">
        <f>MONTH(emp_db[[#This Row],[Column1]])</f>
        <v>1</v>
      </c>
      <c r="U139" s="42">
        <f>IFERROR(YEAR(emp_db[[#This Row],[Exit Date]]),"")</f>
        <v>1900</v>
      </c>
      <c r="V139" s="42">
        <f>IFERROR(MONTH(emp_db[[#This Row],[Exit Date]]),"")</f>
        <v>1</v>
      </c>
    </row>
    <row r="140" spans="2:22">
      <c r="B140" s="39"/>
      <c r="C140" s="39"/>
      <c r="D140" s="39"/>
      <c r="E140" s="39"/>
      <c r="F140" s="40"/>
      <c r="G140" s="38"/>
      <c r="H140" s="43"/>
      <c r="I140" s="43"/>
      <c r="J140" s="39"/>
      <c r="K140" s="38"/>
      <c r="L140" s="39"/>
      <c r="M140" s="39"/>
      <c r="N140" s="43"/>
      <c r="O140" s="38"/>
      <c r="P140" s="38"/>
      <c r="Q140" s="41" t="str">
        <f ca="1">IF(emp_db[[#This Row],[Exit Date]]&lt;&gt;"",(emp_db[[#This Row],[Exit Date]]-emp_db[[#This Row],[Column1]])/365,IF(emp_db[[#This Row],[ID]]&lt;&gt;"",(TODAY()-emp_db[[#This Row],[Column1]])/365,""))</f>
        <v/>
      </c>
      <c r="R140" s="42" t="str">
        <f ca="1">IF(emp_db[[#This Row],[Date of Birth]]&lt;&gt;"",(TODAY()-emp_db[[#This Row],[Date of Birth]])/365,"")</f>
        <v/>
      </c>
      <c r="S140" s="42">
        <f>YEAR(emp_db[[#This Row],[Column1]])</f>
        <v>1900</v>
      </c>
      <c r="T140" s="42">
        <f>MONTH(emp_db[[#This Row],[Column1]])</f>
        <v>1</v>
      </c>
      <c r="U140" s="42">
        <f>IFERROR(YEAR(emp_db[[#This Row],[Exit Date]]),"")</f>
        <v>1900</v>
      </c>
      <c r="V140" s="42">
        <f>IFERROR(MONTH(emp_db[[#This Row],[Exit Date]]),"")</f>
        <v>1</v>
      </c>
    </row>
    <row r="141" spans="2:22">
      <c r="B141" s="39"/>
      <c r="C141" s="39"/>
      <c r="D141" s="39"/>
      <c r="E141" s="39"/>
      <c r="F141" s="40"/>
      <c r="G141" s="38"/>
      <c r="H141" s="43"/>
      <c r="I141" s="43"/>
      <c r="J141" s="39"/>
      <c r="K141" s="38"/>
      <c r="L141" s="39"/>
      <c r="M141" s="39"/>
      <c r="N141" s="43"/>
      <c r="O141" s="38"/>
      <c r="P141" s="38"/>
      <c r="Q141" s="41" t="str">
        <f ca="1">IF(emp_db[[#This Row],[Exit Date]]&lt;&gt;"",(emp_db[[#This Row],[Exit Date]]-emp_db[[#This Row],[Column1]])/365,IF(emp_db[[#This Row],[ID]]&lt;&gt;"",(TODAY()-emp_db[[#This Row],[Column1]])/365,""))</f>
        <v/>
      </c>
      <c r="R141" s="42" t="str">
        <f ca="1">IF(emp_db[[#This Row],[Date of Birth]]&lt;&gt;"",(TODAY()-emp_db[[#This Row],[Date of Birth]])/365,"")</f>
        <v/>
      </c>
      <c r="S141" s="42">
        <f>YEAR(emp_db[[#This Row],[Column1]])</f>
        <v>1900</v>
      </c>
      <c r="T141" s="42">
        <f>MONTH(emp_db[[#This Row],[Column1]])</f>
        <v>1</v>
      </c>
      <c r="U141" s="42">
        <f>IFERROR(YEAR(emp_db[[#This Row],[Exit Date]]),"")</f>
        <v>1900</v>
      </c>
      <c r="V141" s="42">
        <f>IFERROR(MONTH(emp_db[[#This Row],[Exit Date]]),"")</f>
        <v>1</v>
      </c>
    </row>
    <row r="142" spans="2:22">
      <c r="B142" s="39"/>
      <c r="C142" s="39"/>
      <c r="D142" s="39"/>
      <c r="E142" s="39"/>
      <c r="F142" s="40"/>
      <c r="G142" s="38"/>
      <c r="H142" s="43"/>
      <c r="I142" s="43"/>
      <c r="J142" s="39"/>
      <c r="K142" s="38"/>
      <c r="L142" s="39"/>
      <c r="M142" s="39"/>
      <c r="N142" s="43"/>
      <c r="O142" s="38"/>
      <c r="P142" s="38"/>
      <c r="Q142" s="41" t="str">
        <f ca="1">IF(emp_db[[#This Row],[Exit Date]]&lt;&gt;"",(emp_db[[#This Row],[Exit Date]]-emp_db[[#This Row],[Column1]])/365,IF(emp_db[[#This Row],[ID]]&lt;&gt;"",(TODAY()-emp_db[[#This Row],[Column1]])/365,""))</f>
        <v/>
      </c>
      <c r="R142" s="42" t="str">
        <f ca="1">IF(emp_db[[#This Row],[Date of Birth]]&lt;&gt;"",(TODAY()-emp_db[[#This Row],[Date of Birth]])/365,"")</f>
        <v/>
      </c>
      <c r="S142" s="42">
        <f>YEAR(emp_db[[#This Row],[Column1]])</f>
        <v>1900</v>
      </c>
      <c r="T142" s="42">
        <f>MONTH(emp_db[[#This Row],[Column1]])</f>
        <v>1</v>
      </c>
      <c r="U142" s="42">
        <f>IFERROR(YEAR(emp_db[[#This Row],[Exit Date]]),"")</f>
        <v>1900</v>
      </c>
      <c r="V142" s="42">
        <f>IFERROR(MONTH(emp_db[[#This Row],[Exit Date]]),"")</f>
        <v>1</v>
      </c>
    </row>
    <row r="143" spans="2:22">
      <c r="B143" s="39"/>
      <c r="C143" s="39"/>
      <c r="D143" s="39"/>
      <c r="E143" s="39"/>
      <c r="F143" s="40"/>
      <c r="G143" s="38"/>
      <c r="H143" s="43"/>
      <c r="I143" s="43"/>
      <c r="J143" s="39"/>
      <c r="K143" s="38"/>
      <c r="L143" s="39"/>
      <c r="M143" s="39"/>
      <c r="N143" s="43"/>
      <c r="O143" s="38"/>
      <c r="P143" s="38"/>
      <c r="Q143" s="41" t="str">
        <f ca="1">IF(emp_db[[#This Row],[Exit Date]]&lt;&gt;"",(emp_db[[#This Row],[Exit Date]]-emp_db[[#This Row],[Column1]])/365,IF(emp_db[[#This Row],[ID]]&lt;&gt;"",(TODAY()-emp_db[[#This Row],[Column1]])/365,""))</f>
        <v/>
      </c>
      <c r="R143" s="42" t="str">
        <f ca="1">IF(emp_db[[#This Row],[Date of Birth]]&lt;&gt;"",(TODAY()-emp_db[[#This Row],[Date of Birth]])/365,"")</f>
        <v/>
      </c>
      <c r="S143" s="42">
        <f>YEAR(emp_db[[#This Row],[Column1]])</f>
        <v>1900</v>
      </c>
      <c r="T143" s="42">
        <f>MONTH(emp_db[[#This Row],[Column1]])</f>
        <v>1</v>
      </c>
      <c r="U143" s="42">
        <f>IFERROR(YEAR(emp_db[[#This Row],[Exit Date]]),"")</f>
        <v>1900</v>
      </c>
      <c r="V143" s="42">
        <f>IFERROR(MONTH(emp_db[[#This Row],[Exit Date]]),"")</f>
        <v>1</v>
      </c>
    </row>
    <row r="144" spans="2:22">
      <c r="B144" s="39"/>
      <c r="C144" s="39"/>
      <c r="D144" s="39"/>
      <c r="E144" s="39"/>
      <c r="F144" s="40"/>
      <c r="G144" s="38"/>
      <c r="H144" s="43"/>
      <c r="I144" s="43"/>
      <c r="J144" s="39"/>
      <c r="K144" s="38"/>
      <c r="L144" s="39"/>
      <c r="M144" s="39"/>
      <c r="N144" s="43"/>
      <c r="O144" s="38"/>
      <c r="P144" s="38"/>
      <c r="Q144" s="41" t="str">
        <f ca="1">IF(emp_db[[#This Row],[Exit Date]]&lt;&gt;"",(emp_db[[#This Row],[Exit Date]]-emp_db[[#This Row],[Column1]])/365,IF(emp_db[[#This Row],[ID]]&lt;&gt;"",(TODAY()-emp_db[[#This Row],[Column1]])/365,""))</f>
        <v/>
      </c>
      <c r="R144" s="42" t="str">
        <f ca="1">IF(emp_db[[#This Row],[Date of Birth]]&lt;&gt;"",(TODAY()-emp_db[[#This Row],[Date of Birth]])/365,"")</f>
        <v/>
      </c>
      <c r="S144" s="42">
        <f>YEAR(emp_db[[#This Row],[Column1]])</f>
        <v>1900</v>
      </c>
      <c r="T144" s="42">
        <f>MONTH(emp_db[[#This Row],[Column1]])</f>
        <v>1</v>
      </c>
      <c r="U144" s="42">
        <f>IFERROR(YEAR(emp_db[[#This Row],[Exit Date]]),"")</f>
        <v>1900</v>
      </c>
      <c r="V144" s="42">
        <f>IFERROR(MONTH(emp_db[[#This Row],[Exit Date]]),"")</f>
        <v>1</v>
      </c>
    </row>
    <row r="145" spans="2:22">
      <c r="B145" s="39"/>
      <c r="C145" s="39"/>
      <c r="D145" s="39"/>
      <c r="E145" s="39"/>
      <c r="F145" s="40"/>
      <c r="G145" s="38"/>
      <c r="H145" s="43"/>
      <c r="I145" s="43"/>
      <c r="J145" s="39"/>
      <c r="K145" s="38"/>
      <c r="L145" s="39"/>
      <c r="M145" s="39"/>
      <c r="N145" s="43"/>
      <c r="O145" s="38"/>
      <c r="P145" s="38"/>
      <c r="Q145" s="41" t="str">
        <f ca="1">IF(emp_db[[#This Row],[Exit Date]]&lt;&gt;"",(emp_db[[#This Row],[Exit Date]]-emp_db[[#This Row],[Column1]])/365,IF(emp_db[[#This Row],[ID]]&lt;&gt;"",(TODAY()-emp_db[[#This Row],[Column1]])/365,""))</f>
        <v/>
      </c>
      <c r="R145" s="42" t="str">
        <f ca="1">IF(emp_db[[#This Row],[Date of Birth]]&lt;&gt;"",(TODAY()-emp_db[[#This Row],[Date of Birth]])/365,"")</f>
        <v/>
      </c>
      <c r="S145" s="42">
        <f>YEAR(emp_db[[#This Row],[Column1]])</f>
        <v>1900</v>
      </c>
      <c r="T145" s="42">
        <f>MONTH(emp_db[[#This Row],[Column1]])</f>
        <v>1</v>
      </c>
      <c r="U145" s="42">
        <f>IFERROR(YEAR(emp_db[[#This Row],[Exit Date]]),"")</f>
        <v>1900</v>
      </c>
      <c r="V145" s="42">
        <f>IFERROR(MONTH(emp_db[[#This Row],[Exit Date]]),"")</f>
        <v>1</v>
      </c>
    </row>
    <row r="146" spans="2:22">
      <c r="B146" s="39"/>
      <c r="C146" s="39"/>
      <c r="D146" s="39"/>
      <c r="E146" s="39"/>
      <c r="F146" s="40"/>
      <c r="G146" s="38"/>
      <c r="H146" s="43"/>
      <c r="I146" s="43"/>
      <c r="J146" s="39"/>
      <c r="K146" s="38"/>
      <c r="L146" s="39"/>
      <c r="M146" s="39"/>
      <c r="N146" s="43"/>
      <c r="O146" s="38"/>
      <c r="P146" s="38"/>
      <c r="Q146" s="41" t="str">
        <f ca="1">IF(emp_db[[#This Row],[Exit Date]]&lt;&gt;"",(emp_db[[#This Row],[Exit Date]]-emp_db[[#This Row],[Column1]])/365,IF(emp_db[[#This Row],[ID]]&lt;&gt;"",(TODAY()-emp_db[[#This Row],[Column1]])/365,""))</f>
        <v/>
      </c>
      <c r="R146" s="42" t="str">
        <f ca="1">IF(emp_db[[#This Row],[Date of Birth]]&lt;&gt;"",(TODAY()-emp_db[[#This Row],[Date of Birth]])/365,"")</f>
        <v/>
      </c>
      <c r="S146" s="42">
        <f>YEAR(emp_db[[#This Row],[Column1]])</f>
        <v>1900</v>
      </c>
      <c r="T146" s="42">
        <f>MONTH(emp_db[[#This Row],[Column1]])</f>
        <v>1</v>
      </c>
      <c r="U146" s="42">
        <f>IFERROR(YEAR(emp_db[[#This Row],[Exit Date]]),"")</f>
        <v>1900</v>
      </c>
      <c r="V146" s="42">
        <f>IFERROR(MONTH(emp_db[[#This Row],[Exit Date]]),"")</f>
        <v>1</v>
      </c>
    </row>
    <row r="147" spans="2:22">
      <c r="B147" s="39"/>
      <c r="C147" s="39"/>
      <c r="D147" s="39"/>
      <c r="E147" s="39"/>
      <c r="F147" s="40"/>
      <c r="G147" s="38"/>
      <c r="H147" s="43"/>
      <c r="I147" s="43"/>
      <c r="J147" s="39"/>
      <c r="K147" s="38"/>
      <c r="L147" s="39"/>
      <c r="M147" s="39"/>
      <c r="N147" s="43"/>
      <c r="O147" s="38"/>
      <c r="P147" s="38"/>
      <c r="Q147" s="41" t="str">
        <f ca="1">IF(emp_db[[#This Row],[Exit Date]]&lt;&gt;"",(emp_db[[#This Row],[Exit Date]]-emp_db[[#This Row],[Column1]])/365,IF(emp_db[[#This Row],[ID]]&lt;&gt;"",(TODAY()-emp_db[[#This Row],[Column1]])/365,""))</f>
        <v/>
      </c>
      <c r="R147" s="42" t="str">
        <f ca="1">IF(emp_db[[#This Row],[Date of Birth]]&lt;&gt;"",(TODAY()-emp_db[[#This Row],[Date of Birth]])/365,"")</f>
        <v/>
      </c>
      <c r="S147" s="42">
        <f>YEAR(emp_db[[#This Row],[Column1]])</f>
        <v>1900</v>
      </c>
      <c r="T147" s="42">
        <f>MONTH(emp_db[[#This Row],[Column1]])</f>
        <v>1</v>
      </c>
      <c r="U147" s="42">
        <f>IFERROR(YEAR(emp_db[[#This Row],[Exit Date]]),"")</f>
        <v>1900</v>
      </c>
      <c r="V147" s="42">
        <f>IFERROR(MONTH(emp_db[[#This Row],[Exit Date]]),"")</f>
        <v>1</v>
      </c>
    </row>
    <row r="148" spans="2:22">
      <c r="B148" s="39"/>
      <c r="C148" s="39"/>
      <c r="D148" s="39"/>
      <c r="E148" s="39"/>
      <c r="F148" s="40"/>
      <c r="G148" s="38"/>
      <c r="H148" s="43"/>
      <c r="I148" s="43"/>
      <c r="J148" s="39"/>
      <c r="K148" s="38"/>
      <c r="L148" s="39"/>
      <c r="M148" s="39"/>
      <c r="N148" s="43"/>
      <c r="O148" s="38"/>
      <c r="P148" s="38"/>
      <c r="Q148" s="41" t="str">
        <f ca="1">IF(emp_db[[#This Row],[Exit Date]]&lt;&gt;"",(emp_db[[#This Row],[Exit Date]]-emp_db[[#This Row],[Column1]])/365,IF(emp_db[[#This Row],[ID]]&lt;&gt;"",(TODAY()-emp_db[[#This Row],[Column1]])/365,""))</f>
        <v/>
      </c>
      <c r="R148" s="42" t="str">
        <f ca="1">IF(emp_db[[#This Row],[Date of Birth]]&lt;&gt;"",(TODAY()-emp_db[[#This Row],[Date of Birth]])/365,"")</f>
        <v/>
      </c>
      <c r="S148" s="42">
        <f>YEAR(emp_db[[#This Row],[Column1]])</f>
        <v>1900</v>
      </c>
      <c r="T148" s="42">
        <f>MONTH(emp_db[[#This Row],[Column1]])</f>
        <v>1</v>
      </c>
      <c r="U148" s="42">
        <f>IFERROR(YEAR(emp_db[[#This Row],[Exit Date]]),"")</f>
        <v>1900</v>
      </c>
      <c r="V148" s="42">
        <f>IFERROR(MONTH(emp_db[[#This Row],[Exit Date]]),"")</f>
        <v>1</v>
      </c>
    </row>
    <row r="149" spans="2:22">
      <c r="B149" s="39"/>
      <c r="C149" s="39"/>
      <c r="D149" s="39"/>
      <c r="E149" s="39"/>
      <c r="F149" s="40"/>
      <c r="G149" s="38"/>
      <c r="H149" s="43"/>
      <c r="I149" s="43"/>
      <c r="J149" s="39"/>
      <c r="K149" s="38"/>
      <c r="L149" s="39"/>
      <c r="M149" s="39"/>
      <c r="N149" s="43"/>
      <c r="O149" s="38"/>
      <c r="P149" s="38"/>
      <c r="Q149" s="41" t="str">
        <f ca="1">IF(emp_db[[#This Row],[Exit Date]]&lt;&gt;"",(emp_db[[#This Row],[Exit Date]]-emp_db[[#This Row],[Column1]])/365,IF(emp_db[[#This Row],[ID]]&lt;&gt;"",(TODAY()-emp_db[[#This Row],[Column1]])/365,""))</f>
        <v/>
      </c>
      <c r="R149" s="42" t="str">
        <f ca="1">IF(emp_db[[#This Row],[Date of Birth]]&lt;&gt;"",(TODAY()-emp_db[[#This Row],[Date of Birth]])/365,"")</f>
        <v/>
      </c>
      <c r="S149" s="42">
        <f>YEAR(emp_db[[#This Row],[Column1]])</f>
        <v>1900</v>
      </c>
      <c r="T149" s="42">
        <f>MONTH(emp_db[[#This Row],[Column1]])</f>
        <v>1</v>
      </c>
      <c r="U149" s="42">
        <f>IFERROR(YEAR(emp_db[[#This Row],[Exit Date]]),"")</f>
        <v>1900</v>
      </c>
      <c r="V149" s="42">
        <f>IFERROR(MONTH(emp_db[[#This Row],[Exit Date]]),"")</f>
        <v>1</v>
      </c>
    </row>
    <row r="150" spans="2:22">
      <c r="B150" s="39"/>
      <c r="C150" s="39"/>
      <c r="D150" s="39"/>
      <c r="E150" s="39"/>
      <c r="F150" s="40"/>
      <c r="G150" s="38"/>
      <c r="H150" s="43"/>
      <c r="I150" s="43"/>
      <c r="J150" s="39"/>
      <c r="K150" s="38"/>
      <c r="L150" s="39"/>
      <c r="M150" s="39"/>
      <c r="N150" s="43"/>
      <c r="O150" s="38"/>
      <c r="P150" s="38"/>
      <c r="Q150" s="41" t="str">
        <f ca="1">IF(emp_db[[#This Row],[Exit Date]]&lt;&gt;"",(emp_db[[#This Row],[Exit Date]]-emp_db[[#This Row],[Column1]])/365,IF(emp_db[[#This Row],[ID]]&lt;&gt;"",(TODAY()-emp_db[[#This Row],[Column1]])/365,""))</f>
        <v/>
      </c>
      <c r="R150" s="42" t="str">
        <f ca="1">IF(emp_db[[#This Row],[Date of Birth]]&lt;&gt;"",(TODAY()-emp_db[[#This Row],[Date of Birth]])/365,"")</f>
        <v/>
      </c>
      <c r="S150" s="42">
        <f>YEAR(emp_db[[#This Row],[Column1]])</f>
        <v>1900</v>
      </c>
      <c r="T150" s="42">
        <f>MONTH(emp_db[[#This Row],[Column1]])</f>
        <v>1</v>
      </c>
      <c r="U150" s="42">
        <f>IFERROR(YEAR(emp_db[[#This Row],[Exit Date]]),"")</f>
        <v>1900</v>
      </c>
      <c r="V150" s="42">
        <f>IFERROR(MONTH(emp_db[[#This Row],[Exit Date]]),"")</f>
        <v>1</v>
      </c>
    </row>
    <row r="151" spans="2:22">
      <c r="B151" s="39"/>
      <c r="C151" s="39"/>
      <c r="D151" s="39"/>
      <c r="E151" s="39"/>
      <c r="F151" s="40"/>
      <c r="G151" s="38"/>
      <c r="H151" s="43"/>
      <c r="I151" s="43"/>
      <c r="J151" s="39"/>
      <c r="K151" s="38"/>
      <c r="L151" s="39"/>
      <c r="M151" s="39"/>
      <c r="N151" s="43"/>
      <c r="O151" s="38"/>
      <c r="P151" s="38"/>
      <c r="Q151" s="41" t="str">
        <f ca="1">IF(emp_db[[#This Row],[Exit Date]]&lt;&gt;"",(emp_db[[#This Row],[Exit Date]]-emp_db[[#This Row],[Column1]])/365,IF(emp_db[[#This Row],[ID]]&lt;&gt;"",(TODAY()-emp_db[[#This Row],[Column1]])/365,""))</f>
        <v/>
      </c>
      <c r="R151" s="42" t="str">
        <f ca="1">IF(emp_db[[#This Row],[Date of Birth]]&lt;&gt;"",(TODAY()-emp_db[[#This Row],[Date of Birth]])/365,"")</f>
        <v/>
      </c>
      <c r="S151" s="42">
        <f>YEAR(emp_db[[#This Row],[Column1]])</f>
        <v>1900</v>
      </c>
      <c r="T151" s="42">
        <f>MONTH(emp_db[[#This Row],[Column1]])</f>
        <v>1</v>
      </c>
      <c r="U151" s="42">
        <f>IFERROR(YEAR(emp_db[[#This Row],[Exit Date]]),"")</f>
        <v>1900</v>
      </c>
      <c r="V151" s="42">
        <f>IFERROR(MONTH(emp_db[[#This Row],[Exit Date]]),"")</f>
        <v>1</v>
      </c>
    </row>
    <row r="152" spans="2:22">
      <c r="B152" s="39"/>
      <c r="C152" s="39"/>
      <c r="D152" s="39"/>
      <c r="E152" s="39"/>
      <c r="F152" s="40"/>
      <c r="G152" s="38"/>
      <c r="H152" s="43"/>
      <c r="I152" s="43"/>
      <c r="J152" s="39"/>
      <c r="K152" s="38"/>
      <c r="L152" s="39"/>
      <c r="M152" s="39"/>
      <c r="N152" s="43"/>
      <c r="O152" s="38"/>
      <c r="P152" s="38"/>
      <c r="Q152" s="41" t="str">
        <f ca="1">IF(emp_db[[#This Row],[Exit Date]]&lt;&gt;"",(emp_db[[#This Row],[Exit Date]]-emp_db[[#This Row],[Column1]])/365,IF(emp_db[[#This Row],[ID]]&lt;&gt;"",(TODAY()-emp_db[[#This Row],[Column1]])/365,""))</f>
        <v/>
      </c>
      <c r="R152" s="42" t="str">
        <f ca="1">IF(emp_db[[#This Row],[Date of Birth]]&lt;&gt;"",(TODAY()-emp_db[[#This Row],[Date of Birth]])/365,"")</f>
        <v/>
      </c>
      <c r="S152" s="42">
        <f>YEAR(emp_db[[#This Row],[Column1]])</f>
        <v>1900</v>
      </c>
      <c r="T152" s="42">
        <f>MONTH(emp_db[[#This Row],[Column1]])</f>
        <v>1</v>
      </c>
      <c r="U152" s="42">
        <f>IFERROR(YEAR(emp_db[[#This Row],[Exit Date]]),"")</f>
        <v>1900</v>
      </c>
      <c r="V152" s="42">
        <f>IFERROR(MONTH(emp_db[[#This Row],[Exit Date]]),"")</f>
        <v>1</v>
      </c>
    </row>
    <row r="153" spans="2:22">
      <c r="B153" s="39"/>
      <c r="C153" s="39"/>
      <c r="D153" s="39"/>
      <c r="E153" s="39"/>
      <c r="F153" s="40"/>
      <c r="G153" s="38"/>
      <c r="H153" s="43"/>
      <c r="I153" s="43"/>
      <c r="J153" s="39"/>
      <c r="K153" s="38"/>
      <c r="L153" s="39"/>
      <c r="M153" s="39"/>
      <c r="N153" s="43"/>
      <c r="O153" s="38"/>
      <c r="P153" s="38"/>
      <c r="Q153" s="41" t="str">
        <f ca="1">IF(emp_db[[#This Row],[Exit Date]]&lt;&gt;"",(emp_db[[#This Row],[Exit Date]]-emp_db[[#This Row],[Column1]])/365,IF(emp_db[[#This Row],[ID]]&lt;&gt;"",(TODAY()-emp_db[[#This Row],[Column1]])/365,""))</f>
        <v/>
      </c>
      <c r="R153" s="42" t="str">
        <f ca="1">IF(emp_db[[#This Row],[Date of Birth]]&lt;&gt;"",(TODAY()-emp_db[[#This Row],[Date of Birth]])/365,"")</f>
        <v/>
      </c>
      <c r="S153" s="42">
        <f>YEAR(emp_db[[#This Row],[Column1]])</f>
        <v>1900</v>
      </c>
      <c r="T153" s="42">
        <f>MONTH(emp_db[[#This Row],[Column1]])</f>
        <v>1</v>
      </c>
      <c r="U153" s="42">
        <f>IFERROR(YEAR(emp_db[[#This Row],[Exit Date]]),"")</f>
        <v>1900</v>
      </c>
      <c r="V153" s="42">
        <f>IFERROR(MONTH(emp_db[[#This Row],[Exit Date]]),"")</f>
        <v>1</v>
      </c>
    </row>
    <row r="154" spans="2:22">
      <c r="B154" s="39"/>
      <c r="C154" s="39"/>
      <c r="D154" s="39"/>
      <c r="E154" s="39"/>
      <c r="F154" s="40"/>
      <c r="G154" s="38"/>
      <c r="H154" s="43"/>
      <c r="I154" s="43"/>
      <c r="J154" s="39"/>
      <c r="K154" s="38"/>
      <c r="L154" s="39"/>
      <c r="M154" s="39"/>
      <c r="N154" s="43"/>
      <c r="O154" s="38"/>
      <c r="P154" s="38"/>
      <c r="Q154" s="41" t="str">
        <f ca="1">IF(emp_db[[#This Row],[Exit Date]]&lt;&gt;"",(emp_db[[#This Row],[Exit Date]]-emp_db[[#This Row],[Column1]])/365,IF(emp_db[[#This Row],[ID]]&lt;&gt;"",(TODAY()-emp_db[[#This Row],[Column1]])/365,""))</f>
        <v/>
      </c>
      <c r="R154" s="42" t="str">
        <f ca="1">IF(emp_db[[#This Row],[Date of Birth]]&lt;&gt;"",(TODAY()-emp_db[[#This Row],[Date of Birth]])/365,"")</f>
        <v/>
      </c>
      <c r="S154" s="42">
        <f>YEAR(emp_db[[#This Row],[Column1]])</f>
        <v>1900</v>
      </c>
      <c r="T154" s="42">
        <f>MONTH(emp_db[[#This Row],[Column1]])</f>
        <v>1</v>
      </c>
      <c r="U154" s="42">
        <f>IFERROR(YEAR(emp_db[[#This Row],[Exit Date]]),"")</f>
        <v>1900</v>
      </c>
      <c r="V154" s="42">
        <f>IFERROR(MONTH(emp_db[[#This Row],[Exit Date]]),"")</f>
        <v>1</v>
      </c>
    </row>
    <row r="155" spans="2:22">
      <c r="B155" s="39"/>
      <c r="C155" s="39"/>
      <c r="D155" s="39"/>
      <c r="E155" s="39"/>
      <c r="F155" s="40"/>
      <c r="G155" s="38"/>
      <c r="H155" s="43"/>
      <c r="I155" s="43"/>
      <c r="J155" s="39"/>
      <c r="K155" s="38"/>
      <c r="L155" s="39"/>
      <c r="M155" s="39"/>
      <c r="N155" s="43"/>
      <c r="O155" s="38"/>
      <c r="P155" s="38"/>
      <c r="Q155" s="41" t="str">
        <f ca="1">IF(emp_db[[#This Row],[Exit Date]]&lt;&gt;"",(emp_db[[#This Row],[Exit Date]]-emp_db[[#This Row],[Column1]])/365,IF(emp_db[[#This Row],[ID]]&lt;&gt;"",(TODAY()-emp_db[[#This Row],[Column1]])/365,""))</f>
        <v/>
      </c>
      <c r="R155" s="42" t="str">
        <f ca="1">IF(emp_db[[#This Row],[Date of Birth]]&lt;&gt;"",(TODAY()-emp_db[[#This Row],[Date of Birth]])/365,"")</f>
        <v/>
      </c>
      <c r="S155" s="42">
        <f>YEAR(emp_db[[#This Row],[Column1]])</f>
        <v>1900</v>
      </c>
      <c r="T155" s="42">
        <f>MONTH(emp_db[[#This Row],[Column1]])</f>
        <v>1</v>
      </c>
      <c r="U155" s="42">
        <f>IFERROR(YEAR(emp_db[[#This Row],[Exit Date]]),"")</f>
        <v>1900</v>
      </c>
      <c r="V155" s="42">
        <f>IFERROR(MONTH(emp_db[[#This Row],[Exit Date]]),"")</f>
        <v>1</v>
      </c>
    </row>
    <row r="156" spans="2:22">
      <c r="B156" s="39"/>
      <c r="C156" s="39"/>
      <c r="D156" s="39"/>
      <c r="E156" s="39"/>
      <c r="F156" s="40"/>
      <c r="G156" s="38"/>
      <c r="H156" s="43"/>
      <c r="I156" s="43"/>
      <c r="J156" s="39"/>
      <c r="K156" s="38"/>
      <c r="L156" s="39"/>
      <c r="M156" s="39"/>
      <c r="N156" s="43"/>
      <c r="O156" s="38"/>
      <c r="P156" s="38"/>
      <c r="Q156" s="41" t="str">
        <f ca="1">IF(emp_db[[#This Row],[Exit Date]]&lt;&gt;"",(emp_db[[#This Row],[Exit Date]]-emp_db[[#This Row],[Column1]])/365,IF(emp_db[[#This Row],[ID]]&lt;&gt;"",(TODAY()-emp_db[[#This Row],[Column1]])/365,""))</f>
        <v/>
      </c>
      <c r="R156" s="42" t="str">
        <f ca="1">IF(emp_db[[#This Row],[Date of Birth]]&lt;&gt;"",(TODAY()-emp_db[[#This Row],[Date of Birth]])/365,"")</f>
        <v/>
      </c>
      <c r="S156" s="42">
        <f>YEAR(emp_db[[#This Row],[Column1]])</f>
        <v>1900</v>
      </c>
      <c r="T156" s="42">
        <f>MONTH(emp_db[[#This Row],[Column1]])</f>
        <v>1</v>
      </c>
      <c r="U156" s="42">
        <f>IFERROR(YEAR(emp_db[[#This Row],[Exit Date]]),"")</f>
        <v>1900</v>
      </c>
      <c r="V156" s="42">
        <f>IFERROR(MONTH(emp_db[[#This Row],[Exit Date]]),"")</f>
        <v>1</v>
      </c>
    </row>
    <row r="157" spans="2:22">
      <c r="B157" s="39"/>
      <c r="C157" s="39"/>
      <c r="D157" s="39"/>
      <c r="E157" s="39"/>
      <c r="F157" s="40"/>
      <c r="G157" s="38"/>
      <c r="H157" s="43"/>
      <c r="I157" s="43"/>
      <c r="J157" s="39"/>
      <c r="K157" s="38"/>
      <c r="L157" s="39"/>
      <c r="M157" s="39"/>
      <c r="N157" s="43"/>
      <c r="O157" s="38"/>
      <c r="P157" s="38"/>
      <c r="Q157" s="41" t="str">
        <f ca="1">IF(emp_db[[#This Row],[Exit Date]]&lt;&gt;"",(emp_db[[#This Row],[Exit Date]]-emp_db[[#This Row],[Column1]])/365,IF(emp_db[[#This Row],[ID]]&lt;&gt;"",(TODAY()-emp_db[[#This Row],[Column1]])/365,""))</f>
        <v/>
      </c>
      <c r="R157" s="42" t="str">
        <f ca="1">IF(emp_db[[#This Row],[Date of Birth]]&lt;&gt;"",(TODAY()-emp_db[[#This Row],[Date of Birth]])/365,"")</f>
        <v/>
      </c>
      <c r="S157" s="42">
        <f>YEAR(emp_db[[#This Row],[Column1]])</f>
        <v>1900</v>
      </c>
      <c r="T157" s="42">
        <f>MONTH(emp_db[[#This Row],[Column1]])</f>
        <v>1</v>
      </c>
      <c r="U157" s="42">
        <f>IFERROR(YEAR(emp_db[[#This Row],[Exit Date]]),"")</f>
        <v>1900</v>
      </c>
      <c r="V157" s="42">
        <f>IFERROR(MONTH(emp_db[[#This Row],[Exit Date]]),"")</f>
        <v>1</v>
      </c>
    </row>
    <row r="158" spans="2:22">
      <c r="B158" s="39"/>
      <c r="C158" s="39"/>
      <c r="D158" s="39"/>
      <c r="E158" s="39"/>
      <c r="F158" s="40"/>
      <c r="G158" s="38"/>
      <c r="H158" s="43"/>
      <c r="I158" s="43"/>
      <c r="J158" s="39"/>
      <c r="K158" s="38"/>
      <c r="L158" s="39"/>
      <c r="M158" s="39"/>
      <c r="N158" s="43"/>
      <c r="O158" s="38"/>
      <c r="P158" s="38"/>
      <c r="Q158" s="41" t="str">
        <f ca="1">IF(emp_db[[#This Row],[Exit Date]]&lt;&gt;"",(emp_db[[#This Row],[Exit Date]]-emp_db[[#This Row],[Column1]])/365,IF(emp_db[[#This Row],[ID]]&lt;&gt;"",(TODAY()-emp_db[[#This Row],[Column1]])/365,""))</f>
        <v/>
      </c>
      <c r="R158" s="42" t="str">
        <f ca="1">IF(emp_db[[#This Row],[Date of Birth]]&lt;&gt;"",(TODAY()-emp_db[[#This Row],[Date of Birth]])/365,"")</f>
        <v/>
      </c>
      <c r="S158" s="42">
        <f>YEAR(emp_db[[#This Row],[Column1]])</f>
        <v>1900</v>
      </c>
      <c r="T158" s="42">
        <f>MONTH(emp_db[[#This Row],[Column1]])</f>
        <v>1</v>
      </c>
      <c r="U158" s="42">
        <f>IFERROR(YEAR(emp_db[[#This Row],[Exit Date]]),"")</f>
        <v>1900</v>
      </c>
      <c r="V158" s="42">
        <f>IFERROR(MONTH(emp_db[[#This Row],[Exit Date]]),"")</f>
        <v>1</v>
      </c>
    </row>
    <row r="159" spans="2:22">
      <c r="B159" s="39"/>
      <c r="C159" s="39"/>
      <c r="D159" s="39"/>
      <c r="E159" s="39"/>
      <c r="F159" s="40"/>
      <c r="G159" s="38"/>
      <c r="H159" s="43"/>
      <c r="I159" s="43"/>
      <c r="J159" s="39"/>
      <c r="K159" s="38"/>
      <c r="L159" s="39"/>
      <c r="M159" s="39"/>
      <c r="N159" s="43"/>
      <c r="O159" s="38"/>
      <c r="P159" s="38"/>
      <c r="Q159" s="41" t="str">
        <f ca="1">IF(emp_db[[#This Row],[Exit Date]]&lt;&gt;"",(emp_db[[#This Row],[Exit Date]]-emp_db[[#This Row],[Column1]])/365,IF(emp_db[[#This Row],[ID]]&lt;&gt;"",(TODAY()-emp_db[[#This Row],[Column1]])/365,""))</f>
        <v/>
      </c>
      <c r="R159" s="42" t="str">
        <f ca="1">IF(emp_db[[#This Row],[Date of Birth]]&lt;&gt;"",(TODAY()-emp_db[[#This Row],[Date of Birth]])/365,"")</f>
        <v/>
      </c>
      <c r="S159" s="42">
        <f>YEAR(emp_db[[#This Row],[Column1]])</f>
        <v>1900</v>
      </c>
      <c r="T159" s="42">
        <f>MONTH(emp_db[[#This Row],[Column1]])</f>
        <v>1</v>
      </c>
      <c r="U159" s="42">
        <f>IFERROR(YEAR(emp_db[[#This Row],[Exit Date]]),"")</f>
        <v>1900</v>
      </c>
      <c r="V159" s="42">
        <f>IFERROR(MONTH(emp_db[[#This Row],[Exit Date]]),"")</f>
        <v>1</v>
      </c>
    </row>
    <row r="160" spans="2:22">
      <c r="B160" s="39"/>
      <c r="C160" s="39"/>
      <c r="D160" s="39"/>
      <c r="E160" s="39"/>
      <c r="F160" s="40"/>
      <c r="G160" s="38"/>
      <c r="H160" s="43"/>
      <c r="I160" s="43"/>
      <c r="J160" s="39"/>
      <c r="K160" s="38"/>
      <c r="L160" s="39"/>
      <c r="M160" s="39"/>
      <c r="N160" s="43"/>
      <c r="O160" s="38"/>
      <c r="P160" s="38"/>
      <c r="Q160" s="41" t="str">
        <f ca="1">IF(emp_db[[#This Row],[Exit Date]]&lt;&gt;"",(emp_db[[#This Row],[Exit Date]]-emp_db[[#This Row],[Column1]])/365,IF(emp_db[[#This Row],[ID]]&lt;&gt;"",(TODAY()-emp_db[[#This Row],[Column1]])/365,""))</f>
        <v/>
      </c>
      <c r="R160" s="42" t="str">
        <f ca="1">IF(emp_db[[#This Row],[Date of Birth]]&lt;&gt;"",(TODAY()-emp_db[[#This Row],[Date of Birth]])/365,"")</f>
        <v/>
      </c>
      <c r="S160" s="42">
        <f>YEAR(emp_db[[#This Row],[Column1]])</f>
        <v>1900</v>
      </c>
      <c r="T160" s="42">
        <f>MONTH(emp_db[[#This Row],[Column1]])</f>
        <v>1</v>
      </c>
      <c r="U160" s="42">
        <f>IFERROR(YEAR(emp_db[[#This Row],[Exit Date]]),"")</f>
        <v>1900</v>
      </c>
      <c r="V160" s="42">
        <f>IFERROR(MONTH(emp_db[[#This Row],[Exit Date]]),"")</f>
        <v>1</v>
      </c>
    </row>
    <row r="161" spans="2:22">
      <c r="B161" s="39"/>
      <c r="C161" s="39"/>
      <c r="D161" s="39"/>
      <c r="E161" s="39"/>
      <c r="F161" s="40"/>
      <c r="G161" s="38"/>
      <c r="H161" s="43"/>
      <c r="I161" s="43"/>
      <c r="J161" s="39"/>
      <c r="K161" s="38"/>
      <c r="L161" s="39"/>
      <c r="M161" s="39"/>
      <c r="N161" s="43"/>
      <c r="O161" s="38"/>
      <c r="P161" s="38"/>
      <c r="Q161" s="41" t="str">
        <f ca="1">IF(emp_db[[#This Row],[Exit Date]]&lt;&gt;"",(emp_db[[#This Row],[Exit Date]]-emp_db[[#This Row],[Column1]])/365,IF(emp_db[[#This Row],[ID]]&lt;&gt;"",(TODAY()-emp_db[[#This Row],[Column1]])/365,""))</f>
        <v/>
      </c>
      <c r="R161" s="42" t="str">
        <f ca="1">IF(emp_db[[#This Row],[Date of Birth]]&lt;&gt;"",(TODAY()-emp_db[[#This Row],[Date of Birth]])/365,"")</f>
        <v/>
      </c>
      <c r="S161" s="42">
        <f>YEAR(emp_db[[#This Row],[Column1]])</f>
        <v>1900</v>
      </c>
      <c r="T161" s="42">
        <f>MONTH(emp_db[[#This Row],[Column1]])</f>
        <v>1</v>
      </c>
      <c r="U161" s="42">
        <f>IFERROR(YEAR(emp_db[[#This Row],[Exit Date]]),"")</f>
        <v>1900</v>
      </c>
      <c r="V161" s="42">
        <f>IFERROR(MONTH(emp_db[[#This Row],[Exit Date]]),"")</f>
        <v>1</v>
      </c>
    </row>
    <row r="162" spans="2:22">
      <c r="B162" s="39"/>
      <c r="C162" s="39"/>
      <c r="D162" s="39"/>
      <c r="E162" s="39"/>
      <c r="F162" s="40"/>
      <c r="G162" s="38"/>
      <c r="H162" s="43"/>
      <c r="I162" s="43"/>
      <c r="J162" s="39"/>
      <c r="K162" s="38"/>
      <c r="L162" s="39"/>
      <c r="M162" s="39"/>
      <c r="N162" s="43"/>
      <c r="O162" s="38"/>
      <c r="P162" s="38"/>
      <c r="Q162" s="41" t="str">
        <f ca="1">IF(emp_db[[#This Row],[Exit Date]]&lt;&gt;"",(emp_db[[#This Row],[Exit Date]]-emp_db[[#This Row],[Column1]])/365,IF(emp_db[[#This Row],[ID]]&lt;&gt;"",(TODAY()-emp_db[[#This Row],[Column1]])/365,""))</f>
        <v/>
      </c>
      <c r="R162" s="42" t="str">
        <f ca="1">IF(emp_db[[#This Row],[Date of Birth]]&lt;&gt;"",(TODAY()-emp_db[[#This Row],[Date of Birth]])/365,"")</f>
        <v/>
      </c>
      <c r="S162" s="42">
        <f>YEAR(emp_db[[#This Row],[Column1]])</f>
        <v>1900</v>
      </c>
      <c r="T162" s="42">
        <f>MONTH(emp_db[[#This Row],[Column1]])</f>
        <v>1</v>
      </c>
      <c r="U162" s="42">
        <f>IFERROR(YEAR(emp_db[[#This Row],[Exit Date]]),"")</f>
        <v>1900</v>
      </c>
      <c r="V162" s="42">
        <f>IFERROR(MONTH(emp_db[[#This Row],[Exit Date]]),"")</f>
        <v>1</v>
      </c>
    </row>
    <row r="163" spans="2:22">
      <c r="B163" s="39"/>
      <c r="C163" s="39"/>
      <c r="D163" s="39"/>
      <c r="E163" s="39"/>
      <c r="F163" s="40"/>
      <c r="G163" s="38"/>
      <c r="H163" s="43"/>
      <c r="I163" s="43"/>
      <c r="J163" s="39"/>
      <c r="K163" s="38"/>
      <c r="L163" s="39"/>
      <c r="M163" s="39"/>
      <c r="N163" s="43"/>
      <c r="O163" s="38"/>
      <c r="P163" s="38"/>
      <c r="Q163" s="41" t="str">
        <f ca="1">IF(emp_db[[#This Row],[Exit Date]]&lt;&gt;"",(emp_db[[#This Row],[Exit Date]]-emp_db[[#This Row],[Column1]])/365,IF(emp_db[[#This Row],[ID]]&lt;&gt;"",(TODAY()-emp_db[[#This Row],[Column1]])/365,""))</f>
        <v/>
      </c>
      <c r="R163" s="42" t="str">
        <f ca="1">IF(emp_db[[#This Row],[Date of Birth]]&lt;&gt;"",(TODAY()-emp_db[[#This Row],[Date of Birth]])/365,"")</f>
        <v/>
      </c>
      <c r="S163" s="42">
        <f>YEAR(emp_db[[#This Row],[Column1]])</f>
        <v>1900</v>
      </c>
      <c r="T163" s="42">
        <f>MONTH(emp_db[[#This Row],[Column1]])</f>
        <v>1</v>
      </c>
      <c r="U163" s="42">
        <f>IFERROR(YEAR(emp_db[[#This Row],[Exit Date]]),"")</f>
        <v>1900</v>
      </c>
      <c r="V163" s="42">
        <f>IFERROR(MONTH(emp_db[[#This Row],[Exit Date]]),"")</f>
        <v>1</v>
      </c>
    </row>
    <row r="164" spans="2:22">
      <c r="B164" s="39"/>
      <c r="C164" s="39"/>
      <c r="D164" s="39"/>
      <c r="E164" s="39"/>
      <c r="F164" s="40"/>
      <c r="G164" s="38"/>
      <c r="H164" s="43"/>
      <c r="I164" s="43"/>
      <c r="J164" s="39"/>
      <c r="K164" s="38"/>
      <c r="L164" s="39"/>
      <c r="M164" s="39"/>
      <c r="N164" s="43"/>
      <c r="O164" s="38"/>
      <c r="P164" s="38"/>
      <c r="Q164" s="41" t="str">
        <f ca="1">IF(emp_db[[#This Row],[Exit Date]]&lt;&gt;"",(emp_db[[#This Row],[Exit Date]]-emp_db[[#This Row],[Column1]])/365,IF(emp_db[[#This Row],[ID]]&lt;&gt;"",(TODAY()-emp_db[[#This Row],[Column1]])/365,""))</f>
        <v/>
      </c>
      <c r="R164" s="42" t="str">
        <f ca="1">IF(emp_db[[#This Row],[Date of Birth]]&lt;&gt;"",(TODAY()-emp_db[[#This Row],[Date of Birth]])/365,"")</f>
        <v/>
      </c>
      <c r="S164" s="42">
        <f>YEAR(emp_db[[#This Row],[Column1]])</f>
        <v>1900</v>
      </c>
      <c r="T164" s="42">
        <f>MONTH(emp_db[[#This Row],[Column1]])</f>
        <v>1</v>
      </c>
      <c r="U164" s="42">
        <f>IFERROR(YEAR(emp_db[[#This Row],[Exit Date]]),"")</f>
        <v>1900</v>
      </c>
      <c r="V164" s="42">
        <f>IFERROR(MONTH(emp_db[[#This Row],[Exit Date]]),"")</f>
        <v>1</v>
      </c>
    </row>
    <row r="165" spans="2:22">
      <c r="B165" s="39"/>
      <c r="C165" s="39"/>
      <c r="D165" s="39"/>
      <c r="E165" s="39"/>
      <c r="F165" s="40"/>
      <c r="G165" s="38"/>
      <c r="H165" s="43"/>
      <c r="I165" s="43"/>
      <c r="J165" s="39"/>
      <c r="K165" s="38"/>
      <c r="L165" s="39"/>
      <c r="M165" s="39"/>
      <c r="N165" s="43"/>
      <c r="O165" s="38"/>
      <c r="P165" s="38"/>
      <c r="Q165" s="41" t="str">
        <f ca="1">IF(emp_db[[#This Row],[Exit Date]]&lt;&gt;"",(emp_db[[#This Row],[Exit Date]]-emp_db[[#This Row],[Column1]])/365,IF(emp_db[[#This Row],[ID]]&lt;&gt;"",(TODAY()-emp_db[[#This Row],[Column1]])/365,""))</f>
        <v/>
      </c>
      <c r="R165" s="42" t="str">
        <f ca="1">IF(emp_db[[#This Row],[Date of Birth]]&lt;&gt;"",(TODAY()-emp_db[[#This Row],[Date of Birth]])/365,"")</f>
        <v/>
      </c>
      <c r="S165" s="42">
        <f>YEAR(emp_db[[#This Row],[Column1]])</f>
        <v>1900</v>
      </c>
      <c r="T165" s="42">
        <f>MONTH(emp_db[[#This Row],[Column1]])</f>
        <v>1</v>
      </c>
      <c r="U165" s="42">
        <f>IFERROR(YEAR(emp_db[[#This Row],[Exit Date]]),"")</f>
        <v>1900</v>
      </c>
      <c r="V165" s="42">
        <f>IFERROR(MONTH(emp_db[[#This Row],[Exit Date]]),"")</f>
        <v>1</v>
      </c>
    </row>
    <row r="166" spans="2:22">
      <c r="B166" s="39"/>
      <c r="C166" s="39"/>
      <c r="D166" s="39"/>
      <c r="E166" s="39"/>
      <c r="F166" s="40"/>
      <c r="G166" s="38"/>
      <c r="H166" s="43"/>
      <c r="I166" s="43"/>
      <c r="J166" s="39"/>
      <c r="K166" s="38"/>
      <c r="L166" s="39"/>
      <c r="M166" s="39"/>
      <c r="N166" s="43"/>
      <c r="O166" s="38"/>
      <c r="P166" s="38"/>
      <c r="Q166" s="41" t="str">
        <f ca="1">IF(emp_db[[#This Row],[Exit Date]]&lt;&gt;"",(emp_db[[#This Row],[Exit Date]]-emp_db[[#This Row],[Column1]])/365,IF(emp_db[[#This Row],[ID]]&lt;&gt;"",(TODAY()-emp_db[[#This Row],[Column1]])/365,""))</f>
        <v/>
      </c>
      <c r="R166" s="42" t="str">
        <f ca="1">IF(emp_db[[#This Row],[Date of Birth]]&lt;&gt;"",(TODAY()-emp_db[[#This Row],[Date of Birth]])/365,"")</f>
        <v/>
      </c>
      <c r="S166" s="42">
        <f>YEAR(emp_db[[#This Row],[Column1]])</f>
        <v>1900</v>
      </c>
      <c r="T166" s="42">
        <f>MONTH(emp_db[[#This Row],[Column1]])</f>
        <v>1</v>
      </c>
      <c r="U166" s="42">
        <f>IFERROR(YEAR(emp_db[[#This Row],[Exit Date]]),"")</f>
        <v>1900</v>
      </c>
      <c r="V166" s="42">
        <f>IFERROR(MONTH(emp_db[[#This Row],[Exit Date]]),"")</f>
        <v>1</v>
      </c>
    </row>
    <row r="167" spans="2:22">
      <c r="B167" s="39"/>
      <c r="C167" s="39"/>
      <c r="D167" s="39"/>
      <c r="E167" s="39"/>
      <c r="F167" s="40"/>
      <c r="G167" s="38"/>
      <c r="H167" s="43"/>
      <c r="I167" s="43"/>
      <c r="J167" s="39"/>
      <c r="K167" s="38"/>
      <c r="L167" s="39"/>
      <c r="M167" s="39"/>
      <c r="N167" s="43"/>
      <c r="O167" s="38"/>
      <c r="P167" s="38"/>
      <c r="Q167" s="41" t="str">
        <f ca="1">IF(emp_db[[#This Row],[Exit Date]]&lt;&gt;"",(emp_db[[#This Row],[Exit Date]]-emp_db[[#This Row],[Column1]])/365,IF(emp_db[[#This Row],[ID]]&lt;&gt;"",(TODAY()-emp_db[[#This Row],[Column1]])/365,""))</f>
        <v/>
      </c>
      <c r="R167" s="42" t="str">
        <f ca="1">IF(emp_db[[#This Row],[Date of Birth]]&lt;&gt;"",(TODAY()-emp_db[[#This Row],[Date of Birth]])/365,"")</f>
        <v/>
      </c>
      <c r="S167" s="42">
        <f>YEAR(emp_db[[#This Row],[Column1]])</f>
        <v>1900</v>
      </c>
      <c r="T167" s="42">
        <f>MONTH(emp_db[[#This Row],[Column1]])</f>
        <v>1</v>
      </c>
      <c r="U167" s="42">
        <f>IFERROR(YEAR(emp_db[[#This Row],[Exit Date]]),"")</f>
        <v>1900</v>
      </c>
      <c r="V167" s="42">
        <f>IFERROR(MONTH(emp_db[[#This Row],[Exit Date]]),"")</f>
        <v>1</v>
      </c>
    </row>
    <row r="168" spans="2:22">
      <c r="B168" s="39"/>
      <c r="C168" s="39"/>
      <c r="D168" s="39"/>
      <c r="E168" s="39"/>
      <c r="F168" s="40"/>
      <c r="G168" s="38"/>
      <c r="H168" s="43"/>
      <c r="I168" s="43"/>
      <c r="J168" s="39"/>
      <c r="K168" s="38"/>
      <c r="L168" s="39"/>
      <c r="M168" s="39"/>
      <c r="N168" s="43"/>
      <c r="O168" s="38"/>
      <c r="P168" s="38"/>
      <c r="Q168" s="41" t="str">
        <f ca="1">IF(emp_db[[#This Row],[Exit Date]]&lt;&gt;"",(emp_db[[#This Row],[Exit Date]]-emp_db[[#This Row],[Column1]])/365,IF(emp_db[[#This Row],[ID]]&lt;&gt;"",(TODAY()-emp_db[[#This Row],[Column1]])/365,""))</f>
        <v/>
      </c>
      <c r="R168" s="42" t="str">
        <f ca="1">IF(emp_db[[#This Row],[Date of Birth]]&lt;&gt;"",(TODAY()-emp_db[[#This Row],[Date of Birth]])/365,"")</f>
        <v/>
      </c>
      <c r="S168" s="42">
        <f>YEAR(emp_db[[#This Row],[Column1]])</f>
        <v>1900</v>
      </c>
      <c r="T168" s="42">
        <f>MONTH(emp_db[[#This Row],[Column1]])</f>
        <v>1</v>
      </c>
      <c r="U168" s="42">
        <f>IFERROR(YEAR(emp_db[[#This Row],[Exit Date]]),"")</f>
        <v>1900</v>
      </c>
      <c r="V168" s="42">
        <f>IFERROR(MONTH(emp_db[[#This Row],[Exit Date]]),"")</f>
        <v>1</v>
      </c>
    </row>
    <row r="169" spans="2:22">
      <c r="B169" s="39"/>
      <c r="C169" s="39"/>
      <c r="D169" s="39"/>
      <c r="E169" s="39"/>
      <c r="F169" s="40"/>
      <c r="G169" s="38"/>
      <c r="H169" s="43"/>
      <c r="I169" s="43"/>
      <c r="J169" s="39"/>
      <c r="K169" s="38"/>
      <c r="L169" s="39"/>
      <c r="M169" s="39"/>
      <c r="N169" s="43"/>
      <c r="O169" s="38"/>
      <c r="P169" s="38"/>
      <c r="Q169" s="41" t="str">
        <f ca="1">IF(emp_db[[#This Row],[Exit Date]]&lt;&gt;"",(emp_db[[#This Row],[Exit Date]]-emp_db[[#This Row],[Column1]])/365,IF(emp_db[[#This Row],[ID]]&lt;&gt;"",(TODAY()-emp_db[[#This Row],[Column1]])/365,""))</f>
        <v/>
      </c>
      <c r="R169" s="42" t="str">
        <f ca="1">IF(emp_db[[#This Row],[Date of Birth]]&lt;&gt;"",(TODAY()-emp_db[[#This Row],[Date of Birth]])/365,"")</f>
        <v/>
      </c>
      <c r="S169" s="42">
        <f>YEAR(emp_db[[#This Row],[Column1]])</f>
        <v>1900</v>
      </c>
      <c r="T169" s="42">
        <f>MONTH(emp_db[[#This Row],[Column1]])</f>
        <v>1</v>
      </c>
      <c r="U169" s="42">
        <f>IFERROR(YEAR(emp_db[[#This Row],[Exit Date]]),"")</f>
        <v>1900</v>
      </c>
      <c r="V169" s="42">
        <f>IFERROR(MONTH(emp_db[[#This Row],[Exit Date]]),"")</f>
        <v>1</v>
      </c>
    </row>
    <row r="170" spans="2:22">
      <c r="B170" s="39"/>
      <c r="C170" s="39"/>
      <c r="D170" s="39"/>
      <c r="E170" s="39"/>
      <c r="F170" s="40"/>
      <c r="G170" s="38"/>
      <c r="H170" s="43"/>
      <c r="I170" s="43"/>
      <c r="J170" s="39"/>
      <c r="K170" s="38"/>
      <c r="L170" s="39"/>
      <c r="M170" s="39"/>
      <c r="N170" s="43"/>
      <c r="O170" s="38"/>
      <c r="P170" s="38"/>
      <c r="Q170" s="41" t="str">
        <f ca="1">IF(emp_db[[#This Row],[Exit Date]]&lt;&gt;"",(emp_db[[#This Row],[Exit Date]]-emp_db[[#This Row],[Column1]])/365,IF(emp_db[[#This Row],[ID]]&lt;&gt;"",(TODAY()-emp_db[[#This Row],[Column1]])/365,""))</f>
        <v/>
      </c>
      <c r="R170" s="42" t="str">
        <f ca="1">IF(emp_db[[#This Row],[Date of Birth]]&lt;&gt;"",(TODAY()-emp_db[[#This Row],[Date of Birth]])/365,"")</f>
        <v/>
      </c>
      <c r="S170" s="42">
        <f>YEAR(emp_db[[#This Row],[Column1]])</f>
        <v>1900</v>
      </c>
      <c r="T170" s="42">
        <f>MONTH(emp_db[[#This Row],[Column1]])</f>
        <v>1</v>
      </c>
      <c r="U170" s="42">
        <f>IFERROR(YEAR(emp_db[[#This Row],[Exit Date]]),"")</f>
        <v>1900</v>
      </c>
      <c r="V170" s="42">
        <f>IFERROR(MONTH(emp_db[[#This Row],[Exit Date]]),"")</f>
        <v>1</v>
      </c>
    </row>
    <row r="171" spans="2:22">
      <c r="B171" s="39"/>
      <c r="C171" s="39"/>
      <c r="D171" s="39"/>
      <c r="E171" s="39"/>
      <c r="F171" s="40"/>
      <c r="G171" s="38"/>
      <c r="H171" s="43"/>
      <c r="I171" s="43"/>
      <c r="J171" s="39"/>
      <c r="K171" s="38"/>
      <c r="L171" s="39"/>
      <c r="M171" s="39"/>
      <c r="N171" s="43"/>
      <c r="O171" s="38"/>
      <c r="P171" s="38"/>
      <c r="Q171" s="41" t="str">
        <f ca="1">IF(emp_db[[#This Row],[Exit Date]]&lt;&gt;"",(emp_db[[#This Row],[Exit Date]]-emp_db[[#This Row],[Column1]])/365,IF(emp_db[[#This Row],[ID]]&lt;&gt;"",(TODAY()-emp_db[[#This Row],[Column1]])/365,""))</f>
        <v/>
      </c>
      <c r="R171" s="42" t="str">
        <f ca="1">IF(emp_db[[#This Row],[Date of Birth]]&lt;&gt;"",(TODAY()-emp_db[[#This Row],[Date of Birth]])/365,"")</f>
        <v/>
      </c>
      <c r="S171" s="42">
        <f>YEAR(emp_db[[#This Row],[Column1]])</f>
        <v>1900</v>
      </c>
      <c r="T171" s="42">
        <f>MONTH(emp_db[[#This Row],[Column1]])</f>
        <v>1</v>
      </c>
      <c r="U171" s="42">
        <f>IFERROR(YEAR(emp_db[[#This Row],[Exit Date]]),"")</f>
        <v>1900</v>
      </c>
      <c r="V171" s="42">
        <f>IFERROR(MONTH(emp_db[[#This Row],[Exit Date]]),"")</f>
        <v>1</v>
      </c>
    </row>
    <row r="172" spans="2:22">
      <c r="B172" s="39"/>
      <c r="C172" s="39"/>
      <c r="D172" s="39"/>
      <c r="E172" s="39"/>
      <c r="F172" s="40"/>
      <c r="G172" s="38"/>
      <c r="H172" s="43"/>
      <c r="I172" s="43"/>
      <c r="J172" s="39"/>
      <c r="K172" s="38"/>
      <c r="L172" s="39"/>
      <c r="M172" s="39"/>
      <c r="N172" s="43"/>
      <c r="O172" s="38"/>
      <c r="P172" s="38"/>
      <c r="Q172" s="41" t="str">
        <f ca="1">IF(emp_db[[#This Row],[Exit Date]]&lt;&gt;"",(emp_db[[#This Row],[Exit Date]]-emp_db[[#This Row],[Column1]])/365,IF(emp_db[[#This Row],[ID]]&lt;&gt;"",(TODAY()-emp_db[[#This Row],[Column1]])/365,""))</f>
        <v/>
      </c>
      <c r="R172" s="42" t="str">
        <f ca="1">IF(emp_db[[#This Row],[Date of Birth]]&lt;&gt;"",(TODAY()-emp_db[[#This Row],[Date of Birth]])/365,"")</f>
        <v/>
      </c>
      <c r="S172" s="42">
        <f>YEAR(emp_db[[#This Row],[Column1]])</f>
        <v>1900</v>
      </c>
      <c r="T172" s="42">
        <f>MONTH(emp_db[[#This Row],[Column1]])</f>
        <v>1</v>
      </c>
      <c r="U172" s="42">
        <f>IFERROR(YEAR(emp_db[[#This Row],[Exit Date]]),"")</f>
        <v>1900</v>
      </c>
      <c r="V172" s="42">
        <f>IFERROR(MONTH(emp_db[[#This Row],[Exit Date]]),"")</f>
        <v>1</v>
      </c>
    </row>
    <row r="173" spans="2:22">
      <c r="B173" s="39"/>
      <c r="C173" s="39"/>
      <c r="D173" s="39"/>
      <c r="E173" s="39"/>
      <c r="F173" s="40"/>
      <c r="G173" s="38"/>
      <c r="H173" s="43"/>
      <c r="I173" s="43"/>
      <c r="J173" s="39"/>
      <c r="K173" s="38"/>
      <c r="L173" s="39"/>
      <c r="M173" s="39"/>
      <c r="N173" s="43"/>
      <c r="O173" s="38"/>
      <c r="P173" s="38"/>
      <c r="Q173" s="41" t="str">
        <f ca="1">IF(emp_db[[#This Row],[Exit Date]]&lt;&gt;"",(emp_db[[#This Row],[Exit Date]]-emp_db[[#This Row],[Column1]])/365,IF(emp_db[[#This Row],[ID]]&lt;&gt;"",(TODAY()-emp_db[[#This Row],[Column1]])/365,""))</f>
        <v/>
      </c>
      <c r="R173" s="42" t="str">
        <f ca="1">IF(emp_db[[#This Row],[Date of Birth]]&lt;&gt;"",(TODAY()-emp_db[[#This Row],[Date of Birth]])/365,"")</f>
        <v/>
      </c>
      <c r="S173" s="42">
        <f>YEAR(emp_db[[#This Row],[Column1]])</f>
        <v>1900</v>
      </c>
      <c r="T173" s="42">
        <f>MONTH(emp_db[[#This Row],[Column1]])</f>
        <v>1</v>
      </c>
      <c r="U173" s="42">
        <f>IFERROR(YEAR(emp_db[[#This Row],[Exit Date]]),"")</f>
        <v>1900</v>
      </c>
      <c r="V173" s="42">
        <f>IFERROR(MONTH(emp_db[[#This Row],[Exit Date]]),"")</f>
        <v>1</v>
      </c>
    </row>
    <row r="174" spans="2:22">
      <c r="B174" s="39"/>
      <c r="C174" s="39"/>
      <c r="D174" s="39"/>
      <c r="E174" s="39"/>
      <c r="F174" s="40"/>
      <c r="G174" s="38"/>
      <c r="H174" s="43"/>
      <c r="I174" s="43"/>
      <c r="J174" s="39"/>
      <c r="K174" s="38"/>
      <c r="L174" s="39"/>
      <c r="M174" s="39"/>
      <c r="N174" s="43"/>
      <c r="O174" s="38"/>
      <c r="P174" s="38"/>
      <c r="Q174" s="41" t="str">
        <f ca="1">IF(emp_db[[#This Row],[Exit Date]]&lt;&gt;"",(emp_db[[#This Row],[Exit Date]]-emp_db[[#This Row],[Column1]])/365,IF(emp_db[[#This Row],[ID]]&lt;&gt;"",(TODAY()-emp_db[[#This Row],[Column1]])/365,""))</f>
        <v/>
      </c>
      <c r="R174" s="42" t="str">
        <f ca="1">IF(emp_db[[#This Row],[Date of Birth]]&lt;&gt;"",(TODAY()-emp_db[[#This Row],[Date of Birth]])/365,"")</f>
        <v/>
      </c>
      <c r="S174" s="42">
        <f>YEAR(emp_db[[#This Row],[Column1]])</f>
        <v>1900</v>
      </c>
      <c r="T174" s="42">
        <f>MONTH(emp_db[[#This Row],[Column1]])</f>
        <v>1</v>
      </c>
      <c r="U174" s="42">
        <f>IFERROR(YEAR(emp_db[[#This Row],[Exit Date]]),"")</f>
        <v>1900</v>
      </c>
      <c r="V174" s="42">
        <f>IFERROR(MONTH(emp_db[[#This Row],[Exit Date]]),"")</f>
        <v>1</v>
      </c>
    </row>
    <row r="175" spans="2:22">
      <c r="B175" s="39"/>
      <c r="C175" s="39"/>
      <c r="D175" s="39"/>
      <c r="E175" s="39"/>
      <c r="F175" s="40"/>
      <c r="G175" s="38"/>
      <c r="H175" s="43"/>
      <c r="I175" s="43"/>
      <c r="J175" s="39"/>
      <c r="K175" s="38"/>
      <c r="L175" s="39"/>
      <c r="M175" s="39"/>
      <c r="N175" s="43"/>
      <c r="O175" s="38"/>
      <c r="P175" s="38"/>
      <c r="Q175" s="41" t="str">
        <f ca="1">IF(emp_db[[#This Row],[Exit Date]]&lt;&gt;"",(emp_db[[#This Row],[Exit Date]]-emp_db[[#This Row],[Column1]])/365,IF(emp_db[[#This Row],[ID]]&lt;&gt;"",(TODAY()-emp_db[[#This Row],[Column1]])/365,""))</f>
        <v/>
      </c>
      <c r="R175" s="42" t="str">
        <f ca="1">IF(emp_db[[#This Row],[Date of Birth]]&lt;&gt;"",(TODAY()-emp_db[[#This Row],[Date of Birth]])/365,"")</f>
        <v/>
      </c>
      <c r="S175" s="42">
        <f>YEAR(emp_db[[#This Row],[Column1]])</f>
        <v>1900</v>
      </c>
      <c r="T175" s="42">
        <f>MONTH(emp_db[[#This Row],[Column1]])</f>
        <v>1</v>
      </c>
      <c r="U175" s="42">
        <f>IFERROR(YEAR(emp_db[[#This Row],[Exit Date]]),"")</f>
        <v>1900</v>
      </c>
      <c r="V175" s="42">
        <f>IFERROR(MONTH(emp_db[[#This Row],[Exit Date]]),"")</f>
        <v>1</v>
      </c>
    </row>
    <row r="176" spans="2:22">
      <c r="B176" s="39"/>
      <c r="C176" s="39"/>
      <c r="D176" s="39"/>
      <c r="E176" s="39"/>
      <c r="F176" s="40"/>
      <c r="G176" s="38"/>
      <c r="H176" s="43"/>
      <c r="I176" s="43"/>
      <c r="J176" s="39"/>
      <c r="K176" s="38"/>
      <c r="L176" s="39"/>
      <c r="M176" s="39"/>
      <c r="N176" s="43"/>
      <c r="O176" s="38"/>
      <c r="P176" s="38"/>
      <c r="Q176" s="41" t="str">
        <f ca="1">IF(emp_db[[#This Row],[Exit Date]]&lt;&gt;"",(emp_db[[#This Row],[Exit Date]]-emp_db[[#This Row],[Column1]])/365,IF(emp_db[[#This Row],[ID]]&lt;&gt;"",(TODAY()-emp_db[[#This Row],[Column1]])/365,""))</f>
        <v/>
      </c>
      <c r="R176" s="42" t="str">
        <f ca="1">IF(emp_db[[#This Row],[Date of Birth]]&lt;&gt;"",(TODAY()-emp_db[[#This Row],[Date of Birth]])/365,"")</f>
        <v/>
      </c>
      <c r="S176" s="42">
        <f>YEAR(emp_db[[#This Row],[Column1]])</f>
        <v>1900</v>
      </c>
      <c r="T176" s="42">
        <f>MONTH(emp_db[[#This Row],[Column1]])</f>
        <v>1</v>
      </c>
      <c r="U176" s="42">
        <f>IFERROR(YEAR(emp_db[[#This Row],[Exit Date]]),"")</f>
        <v>1900</v>
      </c>
      <c r="V176" s="42">
        <f>IFERROR(MONTH(emp_db[[#This Row],[Exit Date]]),"")</f>
        <v>1</v>
      </c>
    </row>
    <row r="177" spans="2:22">
      <c r="B177" s="39"/>
      <c r="C177" s="39"/>
      <c r="D177" s="39"/>
      <c r="E177" s="39"/>
      <c r="F177" s="40"/>
      <c r="G177" s="38"/>
      <c r="H177" s="43"/>
      <c r="I177" s="43"/>
      <c r="J177" s="39"/>
      <c r="K177" s="38"/>
      <c r="L177" s="39"/>
      <c r="M177" s="39"/>
      <c r="N177" s="43"/>
      <c r="O177" s="38"/>
      <c r="P177" s="38"/>
      <c r="Q177" s="41" t="str">
        <f ca="1">IF(emp_db[[#This Row],[Exit Date]]&lt;&gt;"",(emp_db[[#This Row],[Exit Date]]-emp_db[[#This Row],[Column1]])/365,IF(emp_db[[#This Row],[ID]]&lt;&gt;"",(TODAY()-emp_db[[#This Row],[Column1]])/365,""))</f>
        <v/>
      </c>
      <c r="R177" s="42" t="str">
        <f ca="1">IF(emp_db[[#This Row],[Date of Birth]]&lt;&gt;"",(TODAY()-emp_db[[#This Row],[Date of Birth]])/365,"")</f>
        <v/>
      </c>
      <c r="S177" s="42">
        <f>YEAR(emp_db[[#This Row],[Column1]])</f>
        <v>1900</v>
      </c>
      <c r="T177" s="42">
        <f>MONTH(emp_db[[#This Row],[Column1]])</f>
        <v>1</v>
      </c>
      <c r="U177" s="42">
        <f>IFERROR(YEAR(emp_db[[#This Row],[Exit Date]]),"")</f>
        <v>1900</v>
      </c>
      <c r="V177" s="42">
        <f>IFERROR(MONTH(emp_db[[#This Row],[Exit Date]]),"")</f>
        <v>1</v>
      </c>
    </row>
    <row r="178" spans="2:22">
      <c r="B178" s="39"/>
      <c r="C178" s="39"/>
      <c r="D178" s="39"/>
      <c r="E178" s="39"/>
      <c r="F178" s="40"/>
      <c r="G178" s="38"/>
      <c r="H178" s="43"/>
      <c r="I178" s="43"/>
      <c r="J178" s="39"/>
      <c r="K178" s="38"/>
      <c r="L178" s="39"/>
      <c r="M178" s="39"/>
      <c r="N178" s="43"/>
      <c r="O178" s="38"/>
      <c r="P178" s="38"/>
      <c r="Q178" s="41" t="str">
        <f ca="1">IF(emp_db[[#This Row],[Exit Date]]&lt;&gt;"",(emp_db[[#This Row],[Exit Date]]-emp_db[[#This Row],[Column1]])/365,IF(emp_db[[#This Row],[ID]]&lt;&gt;"",(TODAY()-emp_db[[#This Row],[Column1]])/365,""))</f>
        <v/>
      </c>
      <c r="R178" s="42" t="str">
        <f ca="1">IF(emp_db[[#This Row],[Date of Birth]]&lt;&gt;"",(TODAY()-emp_db[[#This Row],[Date of Birth]])/365,"")</f>
        <v/>
      </c>
      <c r="S178" s="42">
        <f>YEAR(emp_db[[#This Row],[Column1]])</f>
        <v>1900</v>
      </c>
      <c r="T178" s="42">
        <f>MONTH(emp_db[[#This Row],[Column1]])</f>
        <v>1</v>
      </c>
      <c r="U178" s="42">
        <f>IFERROR(YEAR(emp_db[[#This Row],[Exit Date]]),"")</f>
        <v>1900</v>
      </c>
      <c r="V178" s="42">
        <f>IFERROR(MONTH(emp_db[[#This Row],[Exit Date]]),"")</f>
        <v>1</v>
      </c>
    </row>
    <row r="179" spans="2:22">
      <c r="B179" s="39"/>
      <c r="C179" s="39"/>
      <c r="D179" s="39"/>
      <c r="E179" s="39"/>
      <c r="F179" s="40"/>
      <c r="G179" s="38"/>
      <c r="H179" s="43"/>
      <c r="I179" s="43"/>
      <c r="J179" s="39"/>
      <c r="K179" s="38"/>
      <c r="L179" s="39"/>
      <c r="M179" s="39"/>
      <c r="N179" s="43"/>
      <c r="O179" s="38"/>
      <c r="P179" s="38"/>
      <c r="Q179" s="41" t="str">
        <f ca="1">IF(emp_db[[#This Row],[Exit Date]]&lt;&gt;"",(emp_db[[#This Row],[Exit Date]]-emp_db[[#This Row],[Column1]])/365,IF(emp_db[[#This Row],[ID]]&lt;&gt;"",(TODAY()-emp_db[[#This Row],[Column1]])/365,""))</f>
        <v/>
      </c>
      <c r="R179" s="42" t="str">
        <f ca="1">IF(emp_db[[#This Row],[Date of Birth]]&lt;&gt;"",(TODAY()-emp_db[[#This Row],[Date of Birth]])/365,"")</f>
        <v/>
      </c>
      <c r="S179" s="42">
        <f>YEAR(emp_db[[#This Row],[Column1]])</f>
        <v>1900</v>
      </c>
      <c r="T179" s="42">
        <f>MONTH(emp_db[[#This Row],[Column1]])</f>
        <v>1</v>
      </c>
      <c r="U179" s="42">
        <f>IFERROR(YEAR(emp_db[[#This Row],[Exit Date]]),"")</f>
        <v>1900</v>
      </c>
      <c r="V179" s="42">
        <f>IFERROR(MONTH(emp_db[[#This Row],[Exit Date]]),"")</f>
        <v>1</v>
      </c>
    </row>
    <row r="180" spans="2:22">
      <c r="B180" s="39"/>
      <c r="C180" s="39"/>
      <c r="D180" s="39"/>
      <c r="E180" s="39"/>
      <c r="F180" s="40"/>
      <c r="G180" s="38"/>
      <c r="H180" s="43"/>
      <c r="I180" s="43"/>
      <c r="J180" s="39"/>
      <c r="K180" s="38"/>
      <c r="L180" s="39"/>
      <c r="M180" s="39"/>
      <c r="N180" s="43"/>
      <c r="O180" s="38"/>
      <c r="P180" s="38"/>
      <c r="Q180" s="41" t="str">
        <f ca="1">IF(emp_db[[#This Row],[Exit Date]]&lt;&gt;"",(emp_db[[#This Row],[Exit Date]]-emp_db[[#This Row],[Column1]])/365,IF(emp_db[[#This Row],[ID]]&lt;&gt;"",(TODAY()-emp_db[[#This Row],[Column1]])/365,""))</f>
        <v/>
      </c>
      <c r="R180" s="42" t="str">
        <f ca="1">IF(emp_db[[#This Row],[Date of Birth]]&lt;&gt;"",(TODAY()-emp_db[[#This Row],[Date of Birth]])/365,"")</f>
        <v/>
      </c>
      <c r="S180" s="42">
        <f>YEAR(emp_db[[#This Row],[Column1]])</f>
        <v>1900</v>
      </c>
      <c r="T180" s="42">
        <f>MONTH(emp_db[[#This Row],[Column1]])</f>
        <v>1</v>
      </c>
      <c r="U180" s="42">
        <f>IFERROR(YEAR(emp_db[[#This Row],[Exit Date]]),"")</f>
        <v>1900</v>
      </c>
      <c r="V180" s="42">
        <f>IFERROR(MONTH(emp_db[[#This Row],[Exit Date]]),"")</f>
        <v>1</v>
      </c>
    </row>
    <row r="181" spans="2:22">
      <c r="B181" s="39"/>
      <c r="C181" s="39"/>
      <c r="D181" s="39"/>
      <c r="E181" s="39"/>
      <c r="F181" s="40"/>
      <c r="G181" s="38"/>
      <c r="H181" s="43"/>
      <c r="I181" s="43"/>
      <c r="J181" s="39"/>
      <c r="K181" s="38"/>
      <c r="L181" s="39"/>
      <c r="M181" s="39"/>
      <c r="N181" s="43"/>
      <c r="O181" s="38"/>
      <c r="P181" s="38"/>
      <c r="Q181" s="41" t="str">
        <f ca="1">IF(emp_db[[#This Row],[Exit Date]]&lt;&gt;"",(emp_db[[#This Row],[Exit Date]]-emp_db[[#This Row],[Column1]])/365,IF(emp_db[[#This Row],[ID]]&lt;&gt;"",(TODAY()-emp_db[[#This Row],[Column1]])/365,""))</f>
        <v/>
      </c>
      <c r="R181" s="42" t="str">
        <f ca="1">IF(emp_db[[#This Row],[Date of Birth]]&lt;&gt;"",(TODAY()-emp_db[[#This Row],[Date of Birth]])/365,"")</f>
        <v/>
      </c>
      <c r="S181" s="42">
        <f>YEAR(emp_db[[#This Row],[Column1]])</f>
        <v>1900</v>
      </c>
      <c r="T181" s="42">
        <f>MONTH(emp_db[[#This Row],[Column1]])</f>
        <v>1</v>
      </c>
      <c r="U181" s="42">
        <f>IFERROR(YEAR(emp_db[[#This Row],[Exit Date]]),"")</f>
        <v>1900</v>
      </c>
      <c r="V181" s="42">
        <f>IFERROR(MONTH(emp_db[[#This Row],[Exit Date]]),"")</f>
        <v>1</v>
      </c>
    </row>
    <row r="182" spans="2:22">
      <c r="B182" s="39"/>
      <c r="C182" s="39"/>
      <c r="D182" s="39"/>
      <c r="E182" s="39"/>
      <c r="F182" s="40"/>
      <c r="G182" s="38"/>
      <c r="H182" s="43"/>
      <c r="I182" s="43"/>
      <c r="J182" s="39"/>
      <c r="K182" s="38"/>
      <c r="L182" s="39"/>
      <c r="M182" s="39"/>
      <c r="N182" s="43"/>
      <c r="O182" s="38"/>
      <c r="P182" s="38"/>
      <c r="Q182" s="41" t="str">
        <f ca="1">IF(emp_db[[#This Row],[Exit Date]]&lt;&gt;"",(emp_db[[#This Row],[Exit Date]]-emp_db[[#This Row],[Column1]])/365,IF(emp_db[[#This Row],[ID]]&lt;&gt;"",(TODAY()-emp_db[[#This Row],[Column1]])/365,""))</f>
        <v/>
      </c>
      <c r="R182" s="42" t="str">
        <f ca="1">IF(emp_db[[#This Row],[Date of Birth]]&lt;&gt;"",(TODAY()-emp_db[[#This Row],[Date of Birth]])/365,"")</f>
        <v/>
      </c>
      <c r="S182" s="42">
        <f>YEAR(emp_db[[#This Row],[Column1]])</f>
        <v>1900</v>
      </c>
      <c r="T182" s="42">
        <f>MONTH(emp_db[[#This Row],[Column1]])</f>
        <v>1</v>
      </c>
      <c r="U182" s="42">
        <f>IFERROR(YEAR(emp_db[[#This Row],[Exit Date]]),"")</f>
        <v>1900</v>
      </c>
      <c r="V182" s="42">
        <f>IFERROR(MONTH(emp_db[[#This Row],[Exit Date]]),"")</f>
        <v>1</v>
      </c>
    </row>
    <row r="183" spans="2:22">
      <c r="B183" s="39"/>
      <c r="C183" s="39"/>
      <c r="D183" s="39"/>
      <c r="E183" s="39"/>
      <c r="F183" s="40"/>
      <c r="G183" s="38"/>
      <c r="H183" s="43"/>
      <c r="I183" s="43"/>
      <c r="J183" s="39"/>
      <c r="K183" s="38"/>
      <c r="L183" s="39"/>
      <c r="M183" s="39"/>
      <c r="N183" s="43"/>
      <c r="O183" s="38"/>
      <c r="P183" s="38"/>
      <c r="Q183" s="41" t="str">
        <f ca="1">IF(emp_db[[#This Row],[Exit Date]]&lt;&gt;"",(emp_db[[#This Row],[Exit Date]]-emp_db[[#This Row],[Column1]])/365,IF(emp_db[[#This Row],[ID]]&lt;&gt;"",(TODAY()-emp_db[[#This Row],[Column1]])/365,""))</f>
        <v/>
      </c>
      <c r="R183" s="42" t="str">
        <f ca="1">IF(emp_db[[#This Row],[Date of Birth]]&lt;&gt;"",(TODAY()-emp_db[[#This Row],[Date of Birth]])/365,"")</f>
        <v/>
      </c>
      <c r="S183" s="42">
        <f>YEAR(emp_db[[#This Row],[Column1]])</f>
        <v>1900</v>
      </c>
      <c r="T183" s="42">
        <f>MONTH(emp_db[[#This Row],[Column1]])</f>
        <v>1</v>
      </c>
      <c r="U183" s="42">
        <f>IFERROR(YEAR(emp_db[[#This Row],[Exit Date]]),"")</f>
        <v>1900</v>
      </c>
      <c r="V183" s="42">
        <f>IFERROR(MONTH(emp_db[[#This Row],[Exit Date]]),"")</f>
        <v>1</v>
      </c>
    </row>
    <row r="184" spans="2:22">
      <c r="B184" s="39"/>
      <c r="C184" s="39"/>
      <c r="D184" s="39"/>
      <c r="E184" s="39"/>
      <c r="F184" s="40"/>
      <c r="G184" s="38"/>
      <c r="H184" s="43"/>
      <c r="I184" s="43"/>
      <c r="J184" s="39"/>
      <c r="K184" s="38"/>
      <c r="L184" s="39"/>
      <c r="M184" s="39"/>
      <c r="N184" s="43"/>
      <c r="O184" s="38"/>
      <c r="P184" s="38"/>
      <c r="Q184" s="41" t="str">
        <f ca="1">IF(emp_db[[#This Row],[Exit Date]]&lt;&gt;"",(emp_db[[#This Row],[Exit Date]]-emp_db[[#This Row],[Column1]])/365,IF(emp_db[[#This Row],[ID]]&lt;&gt;"",(TODAY()-emp_db[[#This Row],[Column1]])/365,""))</f>
        <v/>
      </c>
      <c r="R184" s="42" t="str">
        <f ca="1">IF(emp_db[[#This Row],[Date of Birth]]&lt;&gt;"",(TODAY()-emp_db[[#This Row],[Date of Birth]])/365,"")</f>
        <v/>
      </c>
      <c r="S184" s="42">
        <f>YEAR(emp_db[[#This Row],[Column1]])</f>
        <v>1900</v>
      </c>
      <c r="T184" s="42">
        <f>MONTH(emp_db[[#This Row],[Column1]])</f>
        <v>1</v>
      </c>
      <c r="U184" s="42">
        <f>IFERROR(YEAR(emp_db[[#This Row],[Exit Date]]),"")</f>
        <v>1900</v>
      </c>
      <c r="V184" s="42">
        <f>IFERROR(MONTH(emp_db[[#This Row],[Exit Date]]),"")</f>
        <v>1</v>
      </c>
    </row>
    <row r="185" spans="2:22">
      <c r="B185" s="39"/>
      <c r="C185" s="39"/>
      <c r="D185" s="39"/>
      <c r="E185" s="39"/>
      <c r="F185" s="40"/>
      <c r="G185" s="38"/>
      <c r="H185" s="43"/>
      <c r="I185" s="43"/>
      <c r="J185" s="39"/>
      <c r="K185" s="38"/>
      <c r="L185" s="39"/>
      <c r="M185" s="39"/>
      <c r="N185" s="43"/>
      <c r="O185" s="38"/>
      <c r="P185" s="38"/>
      <c r="Q185" s="41" t="str">
        <f ca="1">IF(emp_db[[#This Row],[Exit Date]]&lt;&gt;"",(emp_db[[#This Row],[Exit Date]]-emp_db[[#This Row],[Column1]])/365,IF(emp_db[[#This Row],[ID]]&lt;&gt;"",(TODAY()-emp_db[[#This Row],[Column1]])/365,""))</f>
        <v/>
      </c>
      <c r="R185" s="42" t="str">
        <f ca="1">IF(emp_db[[#This Row],[Date of Birth]]&lt;&gt;"",(TODAY()-emp_db[[#This Row],[Date of Birth]])/365,"")</f>
        <v/>
      </c>
      <c r="S185" s="42">
        <f>YEAR(emp_db[[#This Row],[Column1]])</f>
        <v>1900</v>
      </c>
      <c r="T185" s="42">
        <f>MONTH(emp_db[[#This Row],[Column1]])</f>
        <v>1</v>
      </c>
      <c r="U185" s="42">
        <f>IFERROR(YEAR(emp_db[[#This Row],[Exit Date]]),"")</f>
        <v>1900</v>
      </c>
      <c r="V185" s="42">
        <f>IFERROR(MONTH(emp_db[[#This Row],[Exit Date]]),"")</f>
        <v>1</v>
      </c>
    </row>
    <row r="186" spans="2:22">
      <c r="B186" s="39"/>
      <c r="C186" s="39"/>
      <c r="D186" s="39"/>
      <c r="E186" s="39"/>
      <c r="F186" s="40"/>
      <c r="G186" s="38"/>
      <c r="H186" s="43"/>
      <c r="I186" s="43"/>
      <c r="J186" s="39"/>
      <c r="K186" s="38"/>
      <c r="L186" s="39"/>
      <c r="M186" s="39"/>
      <c r="N186" s="43"/>
      <c r="O186" s="38"/>
      <c r="P186" s="38"/>
      <c r="Q186" s="41" t="str">
        <f ca="1">IF(emp_db[[#This Row],[Exit Date]]&lt;&gt;"",(emp_db[[#This Row],[Exit Date]]-emp_db[[#This Row],[Column1]])/365,IF(emp_db[[#This Row],[ID]]&lt;&gt;"",(TODAY()-emp_db[[#This Row],[Column1]])/365,""))</f>
        <v/>
      </c>
      <c r="R186" s="42" t="str">
        <f ca="1">IF(emp_db[[#This Row],[Date of Birth]]&lt;&gt;"",(TODAY()-emp_db[[#This Row],[Date of Birth]])/365,"")</f>
        <v/>
      </c>
      <c r="S186" s="42">
        <f>YEAR(emp_db[[#This Row],[Column1]])</f>
        <v>1900</v>
      </c>
      <c r="T186" s="42">
        <f>MONTH(emp_db[[#This Row],[Column1]])</f>
        <v>1</v>
      </c>
      <c r="U186" s="42">
        <f>IFERROR(YEAR(emp_db[[#This Row],[Exit Date]]),"")</f>
        <v>1900</v>
      </c>
      <c r="V186" s="42">
        <f>IFERROR(MONTH(emp_db[[#This Row],[Exit Date]]),"")</f>
        <v>1</v>
      </c>
    </row>
    <row r="187" spans="2:22">
      <c r="B187" s="39"/>
      <c r="C187" s="39"/>
      <c r="D187" s="39"/>
      <c r="E187" s="39"/>
      <c r="F187" s="40"/>
      <c r="G187" s="38"/>
      <c r="H187" s="43"/>
      <c r="I187" s="43"/>
      <c r="J187" s="39"/>
      <c r="K187" s="38"/>
      <c r="L187" s="39"/>
      <c r="M187" s="39"/>
      <c r="N187" s="43"/>
      <c r="O187" s="38"/>
      <c r="P187" s="38"/>
      <c r="Q187" s="41" t="str">
        <f ca="1">IF(emp_db[[#This Row],[Exit Date]]&lt;&gt;"",(emp_db[[#This Row],[Exit Date]]-emp_db[[#This Row],[Column1]])/365,IF(emp_db[[#This Row],[ID]]&lt;&gt;"",(TODAY()-emp_db[[#This Row],[Column1]])/365,""))</f>
        <v/>
      </c>
      <c r="R187" s="42" t="str">
        <f ca="1">IF(emp_db[[#This Row],[Date of Birth]]&lt;&gt;"",(TODAY()-emp_db[[#This Row],[Date of Birth]])/365,"")</f>
        <v/>
      </c>
      <c r="S187" s="42">
        <f>YEAR(emp_db[[#This Row],[Column1]])</f>
        <v>1900</v>
      </c>
      <c r="T187" s="42">
        <f>MONTH(emp_db[[#This Row],[Column1]])</f>
        <v>1</v>
      </c>
      <c r="U187" s="42">
        <f>IFERROR(YEAR(emp_db[[#This Row],[Exit Date]]),"")</f>
        <v>1900</v>
      </c>
      <c r="V187" s="42">
        <f>IFERROR(MONTH(emp_db[[#This Row],[Exit Date]]),"")</f>
        <v>1</v>
      </c>
    </row>
    <row r="188" spans="2:22">
      <c r="B188" s="39"/>
      <c r="C188" s="39"/>
      <c r="D188" s="39"/>
      <c r="E188" s="39"/>
      <c r="F188" s="40"/>
      <c r="G188" s="38"/>
      <c r="H188" s="43"/>
      <c r="I188" s="43"/>
      <c r="J188" s="39"/>
      <c r="K188" s="38"/>
      <c r="L188" s="39"/>
      <c r="M188" s="39"/>
      <c r="N188" s="43"/>
      <c r="O188" s="38"/>
      <c r="P188" s="38"/>
      <c r="Q188" s="41" t="str">
        <f ca="1">IF(emp_db[[#This Row],[Exit Date]]&lt;&gt;"",(emp_db[[#This Row],[Exit Date]]-emp_db[[#This Row],[Column1]])/365,IF(emp_db[[#This Row],[ID]]&lt;&gt;"",(TODAY()-emp_db[[#This Row],[Column1]])/365,""))</f>
        <v/>
      </c>
      <c r="R188" s="42" t="str">
        <f ca="1">IF(emp_db[[#This Row],[Date of Birth]]&lt;&gt;"",(TODAY()-emp_db[[#This Row],[Date of Birth]])/365,"")</f>
        <v/>
      </c>
      <c r="S188" s="42">
        <f>YEAR(emp_db[[#This Row],[Column1]])</f>
        <v>1900</v>
      </c>
      <c r="T188" s="42">
        <f>MONTH(emp_db[[#This Row],[Column1]])</f>
        <v>1</v>
      </c>
      <c r="U188" s="42">
        <f>IFERROR(YEAR(emp_db[[#This Row],[Exit Date]]),"")</f>
        <v>1900</v>
      </c>
      <c r="V188" s="42">
        <f>IFERROR(MONTH(emp_db[[#This Row],[Exit Date]]),"")</f>
        <v>1</v>
      </c>
    </row>
    <row r="189" spans="2:22">
      <c r="B189" s="39"/>
      <c r="C189" s="39"/>
      <c r="D189" s="39"/>
      <c r="E189" s="39"/>
      <c r="F189" s="40"/>
      <c r="G189" s="38"/>
      <c r="H189" s="43"/>
      <c r="I189" s="43"/>
      <c r="J189" s="39"/>
      <c r="K189" s="38"/>
      <c r="L189" s="39"/>
      <c r="M189" s="39"/>
      <c r="N189" s="43"/>
      <c r="O189" s="38"/>
      <c r="P189" s="38"/>
      <c r="Q189" s="41" t="str">
        <f ca="1">IF(emp_db[[#This Row],[Exit Date]]&lt;&gt;"",(emp_db[[#This Row],[Exit Date]]-emp_db[[#This Row],[Column1]])/365,IF(emp_db[[#This Row],[ID]]&lt;&gt;"",(TODAY()-emp_db[[#This Row],[Column1]])/365,""))</f>
        <v/>
      </c>
      <c r="R189" s="42" t="str">
        <f ca="1">IF(emp_db[[#This Row],[Date of Birth]]&lt;&gt;"",(TODAY()-emp_db[[#This Row],[Date of Birth]])/365,"")</f>
        <v/>
      </c>
      <c r="S189" s="42">
        <f>YEAR(emp_db[[#This Row],[Column1]])</f>
        <v>1900</v>
      </c>
      <c r="T189" s="42">
        <f>MONTH(emp_db[[#This Row],[Column1]])</f>
        <v>1</v>
      </c>
      <c r="U189" s="42">
        <f>IFERROR(YEAR(emp_db[[#This Row],[Exit Date]]),"")</f>
        <v>1900</v>
      </c>
      <c r="V189" s="42">
        <f>IFERROR(MONTH(emp_db[[#This Row],[Exit Date]]),"")</f>
        <v>1</v>
      </c>
    </row>
    <row r="190" spans="2:22">
      <c r="B190" s="39"/>
      <c r="C190" s="39"/>
      <c r="D190" s="39"/>
      <c r="E190" s="39"/>
      <c r="F190" s="40"/>
      <c r="G190" s="38"/>
      <c r="H190" s="43"/>
      <c r="I190" s="43"/>
      <c r="J190" s="39"/>
      <c r="K190" s="38"/>
      <c r="L190" s="39"/>
      <c r="M190" s="39"/>
      <c r="N190" s="43"/>
      <c r="O190" s="38"/>
      <c r="P190" s="38"/>
      <c r="Q190" s="41" t="str">
        <f ca="1">IF(emp_db[[#This Row],[Exit Date]]&lt;&gt;"",(emp_db[[#This Row],[Exit Date]]-emp_db[[#This Row],[Column1]])/365,IF(emp_db[[#This Row],[ID]]&lt;&gt;"",(TODAY()-emp_db[[#This Row],[Column1]])/365,""))</f>
        <v/>
      </c>
      <c r="R190" s="42" t="str">
        <f ca="1">IF(emp_db[[#This Row],[Date of Birth]]&lt;&gt;"",(TODAY()-emp_db[[#This Row],[Date of Birth]])/365,"")</f>
        <v/>
      </c>
      <c r="S190" s="42">
        <f>YEAR(emp_db[[#This Row],[Column1]])</f>
        <v>1900</v>
      </c>
      <c r="T190" s="42">
        <f>MONTH(emp_db[[#This Row],[Column1]])</f>
        <v>1</v>
      </c>
      <c r="U190" s="42">
        <f>IFERROR(YEAR(emp_db[[#This Row],[Exit Date]]),"")</f>
        <v>1900</v>
      </c>
      <c r="V190" s="42">
        <f>IFERROR(MONTH(emp_db[[#This Row],[Exit Date]]),"")</f>
        <v>1</v>
      </c>
    </row>
    <row r="191" spans="2:22">
      <c r="B191" s="39"/>
      <c r="C191" s="39"/>
      <c r="D191" s="39"/>
      <c r="E191" s="39"/>
      <c r="F191" s="40"/>
      <c r="G191" s="38"/>
      <c r="H191" s="43"/>
      <c r="I191" s="43"/>
      <c r="J191" s="39"/>
      <c r="K191" s="38"/>
      <c r="L191" s="39"/>
      <c r="M191" s="39"/>
      <c r="N191" s="43"/>
      <c r="O191" s="38"/>
      <c r="P191" s="38"/>
      <c r="Q191" s="41" t="str">
        <f ca="1">IF(emp_db[[#This Row],[Exit Date]]&lt;&gt;"",(emp_db[[#This Row],[Exit Date]]-emp_db[[#This Row],[Column1]])/365,IF(emp_db[[#This Row],[ID]]&lt;&gt;"",(TODAY()-emp_db[[#This Row],[Column1]])/365,""))</f>
        <v/>
      </c>
      <c r="R191" s="42" t="str">
        <f ca="1">IF(emp_db[[#This Row],[Date of Birth]]&lt;&gt;"",(TODAY()-emp_db[[#This Row],[Date of Birth]])/365,"")</f>
        <v/>
      </c>
      <c r="S191" s="42">
        <f>YEAR(emp_db[[#This Row],[Column1]])</f>
        <v>1900</v>
      </c>
      <c r="T191" s="42">
        <f>MONTH(emp_db[[#This Row],[Column1]])</f>
        <v>1</v>
      </c>
      <c r="U191" s="42">
        <f>IFERROR(YEAR(emp_db[[#This Row],[Exit Date]]),"")</f>
        <v>1900</v>
      </c>
      <c r="V191" s="42">
        <f>IFERROR(MONTH(emp_db[[#This Row],[Exit Date]]),"")</f>
        <v>1</v>
      </c>
    </row>
    <row r="192" spans="2:22">
      <c r="B192" s="39"/>
      <c r="C192" s="39"/>
      <c r="D192" s="39"/>
      <c r="E192" s="39"/>
      <c r="F192" s="40"/>
      <c r="G192" s="38"/>
      <c r="H192" s="43"/>
      <c r="I192" s="43"/>
      <c r="J192" s="39"/>
      <c r="K192" s="38"/>
      <c r="L192" s="39"/>
      <c r="M192" s="39"/>
      <c r="N192" s="43"/>
      <c r="O192" s="38"/>
      <c r="P192" s="38"/>
      <c r="Q192" s="41" t="str">
        <f ca="1">IF(emp_db[[#This Row],[Exit Date]]&lt;&gt;"",(emp_db[[#This Row],[Exit Date]]-emp_db[[#This Row],[Column1]])/365,IF(emp_db[[#This Row],[ID]]&lt;&gt;"",(TODAY()-emp_db[[#This Row],[Column1]])/365,""))</f>
        <v/>
      </c>
      <c r="R192" s="42" t="str">
        <f ca="1">IF(emp_db[[#This Row],[Date of Birth]]&lt;&gt;"",(TODAY()-emp_db[[#This Row],[Date of Birth]])/365,"")</f>
        <v/>
      </c>
      <c r="S192" s="42">
        <f>YEAR(emp_db[[#This Row],[Column1]])</f>
        <v>1900</v>
      </c>
      <c r="T192" s="42">
        <f>MONTH(emp_db[[#This Row],[Column1]])</f>
        <v>1</v>
      </c>
      <c r="U192" s="42">
        <f>IFERROR(YEAR(emp_db[[#This Row],[Exit Date]]),"")</f>
        <v>1900</v>
      </c>
      <c r="V192" s="42">
        <f>IFERROR(MONTH(emp_db[[#This Row],[Exit Date]]),"")</f>
        <v>1</v>
      </c>
    </row>
    <row r="193" spans="2:22">
      <c r="B193" s="39"/>
      <c r="C193" s="39"/>
      <c r="D193" s="39"/>
      <c r="E193" s="39"/>
      <c r="F193" s="40"/>
      <c r="G193" s="38"/>
      <c r="H193" s="43"/>
      <c r="I193" s="43"/>
      <c r="J193" s="39"/>
      <c r="K193" s="38"/>
      <c r="L193" s="39"/>
      <c r="M193" s="39"/>
      <c r="N193" s="43"/>
      <c r="O193" s="38"/>
      <c r="P193" s="38"/>
      <c r="Q193" s="41" t="str">
        <f ca="1">IF(emp_db[[#This Row],[Exit Date]]&lt;&gt;"",(emp_db[[#This Row],[Exit Date]]-emp_db[[#This Row],[Column1]])/365,IF(emp_db[[#This Row],[ID]]&lt;&gt;"",(TODAY()-emp_db[[#This Row],[Column1]])/365,""))</f>
        <v/>
      </c>
      <c r="R193" s="42" t="str">
        <f ca="1">IF(emp_db[[#This Row],[Date of Birth]]&lt;&gt;"",(TODAY()-emp_db[[#This Row],[Date of Birth]])/365,"")</f>
        <v/>
      </c>
      <c r="S193" s="42">
        <f>YEAR(emp_db[[#This Row],[Column1]])</f>
        <v>1900</v>
      </c>
      <c r="T193" s="42">
        <f>MONTH(emp_db[[#This Row],[Column1]])</f>
        <v>1</v>
      </c>
      <c r="U193" s="42">
        <f>IFERROR(YEAR(emp_db[[#This Row],[Exit Date]]),"")</f>
        <v>1900</v>
      </c>
      <c r="V193" s="42">
        <f>IFERROR(MONTH(emp_db[[#This Row],[Exit Date]]),"")</f>
        <v>1</v>
      </c>
    </row>
    <row r="194" spans="2:22">
      <c r="B194" s="39"/>
      <c r="C194" s="39"/>
      <c r="D194" s="39"/>
      <c r="E194" s="39"/>
      <c r="F194" s="40"/>
      <c r="G194" s="38"/>
      <c r="H194" s="43"/>
      <c r="I194" s="43"/>
      <c r="J194" s="39"/>
      <c r="K194" s="38"/>
      <c r="L194" s="39"/>
      <c r="M194" s="39"/>
      <c r="N194" s="43"/>
      <c r="O194" s="38"/>
      <c r="P194" s="38"/>
      <c r="Q194" s="41" t="str">
        <f ca="1">IF(emp_db[[#This Row],[Exit Date]]&lt;&gt;"",(emp_db[[#This Row],[Exit Date]]-emp_db[[#This Row],[Column1]])/365,IF(emp_db[[#This Row],[ID]]&lt;&gt;"",(TODAY()-emp_db[[#This Row],[Column1]])/365,""))</f>
        <v/>
      </c>
      <c r="R194" s="42" t="str">
        <f ca="1">IF(emp_db[[#This Row],[Date of Birth]]&lt;&gt;"",(TODAY()-emp_db[[#This Row],[Date of Birth]])/365,"")</f>
        <v/>
      </c>
      <c r="S194" s="42">
        <f>YEAR(emp_db[[#This Row],[Column1]])</f>
        <v>1900</v>
      </c>
      <c r="T194" s="42">
        <f>MONTH(emp_db[[#This Row],[Column1]])</f>
        <v>1</v>
      </c>
      <c r="U194" s="42">
        <f>IFERROR(YEAR(emp_db[[#This Row],[Exit Date]]),"")</f>
        <v>1900</v>
      </c>
      <c r="V194" s="42">
        <f>IFERROR(MONTH(emp_db[[#This Row],[Exit Date]]),"")</f>
        <v>1</v>
      </c>
    </row>
    <row r="195" spans="2:22">
      <c r="B195" s="39"/>
      <c r="C195" s="39"/>
      <c r="D195" s="39"/>
      <c r="E195" s="39"/>
      <c r="F195" s="40"/>
      <c r="G195" s="38"/>
      <c r="H195" s="43"/>
      <c r="I195" s="43"/>
      <c r="J195" s="39"/>
      <c r="K195" s="38"/>
      <c r="L195" s="39"/>
      <c r="M195" s="39"/>
      <c r="N195" s="43"/>
      <c r="O195" s="38"/>
      <c r="P195" s="38"/>
      <c r="Q195" s="41" t="str">
        <f ca="1">IF(emp_db[[#This Row],[Exit Date]]&lt;&gt;"",(emp_db[[#This Row],[Exit Date]]-emp_db[[#This Row],[Column1]])/365,IF(emp_db[[#This Row],[ID]]&lt;&gt;"",(TODAY()-emp_db[[#This Row],[Column1]])/365,""))</f>
        <v/>
      </c>
      <c r="R195" s="42" t="str">
        <f ca="1">IF(emp_db[[#This Row],[Date of Birth]]&lt;&gt;"",(TODAY()-emp_db[[#This Row],[Date of Birth]])/365,"")</f>
        <v/>
      </c>
      <c r="S195" s="42">
        <f>YEAR(emp_db[[#This Row],[Column1]])</f>
        <v>1900</v>
      </c>
      <c r="T195" s="42">
        <f>MONTH(emp_db[[#This Row],[Column1]])</f>
        <v>1</v>
      </c>
      <c r="U195" s="42">
        <f>IFERROR(YEAR(emp_db[[#This Row],[Exit Date]]),"")</f>
        <v>1900</v>
      </c>
      <c r="V195" s="42">
        <f>IFERROR(MONTH(emp_db[[#This Row],[Exit Date]]),"")</f>
        <v>1</v>
      </c>
    </row>
    <row r="196" spans="2:22">
      <c r="B196" s="39"/>
      <c r="C196" s="39"/>
      <c r="D196" s="39"/>
      <c r="E196" s="39"/>
      <c r="F196" s="40"/>
      <c r="G196" s="38"/>
      <c r="H196" s="43"/>
      <c r="I196" s="43"/>
      <c r="J196" s="39"/>
      <c r="K196" s="38"/>
      <c r="L196" s="39"/>
      <c r="M196" s="39"/>
      <c r="N196" s="43"/>
      <c r="O196" s="38"/>
      <c r="P196" s="38"/>
      <c r="Q196" s="41" t="str">
        <f ca="1">IF(emp_db[[#This Row],[Exit Date]]&lt;&gt;"",(emp_db[[#This Row],[Exit Date]]-emp_db[[#This Row],[Column1]])/365,IF(emp_db[[#This Row],[ID]]&lt;&gt;"",(TODAY()-emp_db[[#This Row],[Column1]])/365,""))</f>
        <v/>
      </c>
      <c r="R196" s="42" t="str">
        <f ca="1">IF(emp_db[[#This Row],[Date of Birth]]&lt;&gt;"",(TODAY()-emp_db[[#This Row],[Date of Birth]])/365,"")</f>
        <v/>
      </c>
      <c r="S196" s="42">
        <f>YEAR(emp_db[[#This Row],[Column1]])</f>
        <v>1900</v>
      </c>
      <c r="T196" s="42">
        <f>MONTH(emp_db[[#This Row],[Column1]])</f>
        <v>1</v>
      </c>
      <c r="U196" s="42">
        <f>IFERROR(YEAR(emp_db[[#This Row],[Exit Date]]),"")</f>
        <v>1900</v>
      </c>
      <c r="V196" s="42">
        <f>IFERROR(MONTH(emp_db[[#This Row],[Exit Date]]),"")</f>
        <v>1</v>
      </c>
    </row>
    <row r="197" spans="2:22">
      <c r="B197" s="39"/>
      <c r="C197" s="39"/>
      <c r="D197" s="39"/>
      <c r="E197" s="39"/>
      <c r="F197" s="40"/>
      <c r="G197" s="38"/>
      <c r="H197" s="43"/>
      <c r="I197" s="43"/>
      <c r="J197" s="39"/>
      <c r="K197" s="38"/>
      <c r="L197" s="39"/>
      <c r="M197" s="39"/>
      <c r="N197" s="43"/>
      <c r="O197" s="38"/>
      <c r="P197" s="38"/>
      <c r="Q197" s="41" t="str">
        <f ca="1">IF(emp_db[[#This Row],[Exit Date]]&lt;&gt;"",(emp_db[[#This Row],[Exit Date]]-emp_db[[#This Row],[Column1]])/365,IF(emp_db[[#This Row],[ID]]&lt;&gt;"",(TODAY()-emp_db[[#This Row],[Column1]])/365,""))</f>
        <v/>
      </c>
      <c r="R197" s="42" t="str">
        <f ca="1">IF(emp_db[[#This Row],[Date of Birth]]&lt;&gt;"",(TODAY()-emp_db[[#This Row],[Date of Birth]])/365,"")</f>
        <v/>
      </c>
      <c r="S197" s="42">
        <f>YEAR(emp_db[[#This Row],[Column1]])</f>
        <v>1900</v>
      </c>
      <c r="T197" s="42">
        <f>MONTH(emp_db[[#This Row],[Column1]])</f>
        <v>1</v>
      </c>
      <c r="U197" s="42">
        <f>IFERROR(YEAR(emp_db[[#This Row],[Exit Date]]),"")</f>
        <v>1900</v>
      </c>
      <c r="V197" s="42">
        <f>IFERROR(MONTH(emp_db[[#This Row],[Exit Date]]),"")</f>
        <v>1</v>
      </c>
    </row>
    <row r="198" spans="2:22">
      <c r="B198" s="39"/>
      <c r="C198" s="39"/>
      <c r="D198" s="39"/>
      <c r="E198" s="39"/>
      <c r="F198" s="40"/>
      <c r="G198" s="38"/>
      <c r="H198" s="43"/>
      <c r="I198" s="43"/>
      <c r="J198" s="39"/>
      <c r="K198" s="38"/>
      <c r="L198" s="39"/>
      <c r="M198" s="39"/>
      <c r="N198" s="43"/>
      <c r="O198" s="38"/>
      <c r="P198" s="38"/>
      <c r="Q198" s="41" t="str">
        <f ca="1">IF(emp_db[[#This Row],[Exit Date]]&lt;&gt;"",(emp_db[[#This Row],[Exit Date]]-emp_db[[#This Row],[Column1]])/365,IF(emp_db[[#This Row],[ID]]&lt;&gt;"",(TODAY()-emp_db[[#This Row],[Column1]])/365,""))</f>
        <v/>
      </c>
      <c r="R198" s="42" t="str">
        <f ca="1">IF(emp_db[[#This Row],[Date of Birth]]&lt;&gt;"",(TODAY()-emp_db[[#This Row],[Date of Birth]])/365,"")</f>
        <v/>
      </c>
      <c r="S198" s="42">
        <f>YEAR(emp_db[[#This Row],[Column1]])</f>
        <v>1900</v>
      </c>
      <c r="T198" s="42">
        <f>MONTH(emp_db[[#This Row],[Column1]])</f>
        <v>1</v>
      </c>
      <c r="U198" s="42">
        <f>IFERROR(YEAR(emp_db[[#This Row],[Exit Date]]),"")</f>
        <v>1900</v>
      </c>
      <c r="V198" s="42">
        <f>IFERROR(MONTH(emp_db[[#This Row],[Exit Date]]),"")</f>
        <v>1</v>
      </c>
    </row>
    <row r="199" spans="2:22">
      <c r="B199" s="39"/>
      <c r="C199" s="39"/>
      <c r="D199" s="39"/>
      <c r="E199" s="39"/>
      <c r="F199" s="40"/>
      <c r="G199" s="38"/>
      <c r="H199" s="43"/>
      <c r="I199" s="43"/>
      <c r="J199" s="39"/>
      <c r="K199" s="38"/>
      <c r="L199" s="39"/>
      <c r="M199" s="39"/>
      <c r="N199" s="43"/>
      <c r="O199" s="38"/>
      <c r="P199" s="38"/>
      <c r="Q199" s="41" t="str">
        <f ca="1">IF(emp_db[[#This Row],[Exit Date]]&lt;&gt;"",(emp_db[[#This Row],[Exit Date]]-emp_db[[#This Row],[Column1]])/365,IF(emp_db[[#This Row],[ID]]&lt;&gt;"",(TODAY()-emp_db[[#This Row],[Column1]])/365,""))</f>
        <v/>
      </c>
      <c r="R199" s="42" t="str">
        <f ca="1">IF(emp_db[[#This Row],[Date of Birth]]&lt;&gt;"",(TODAY()-emp_db[[#This Row],[Date of Birth]])/365,"")</f>
        <v/>
      </c>
      <c r="S199" s="42">
        <f>YEAR(emp_db[[#This Row],[Column1]])</f>
        <v>1900</v>
      </c>
      <c r="T199" s="42">
        <f>MONTH(emp_db[[#This Row],[Column1]])</f>
        <v>1</v>
      </c>
      <c r="U199" s="42">
        <f>IFERROR(YEAR(emp_db[[#This Row],[Exit Date]]),"")</f>
        <v>1900</v>
      </c>
      <c r="V199" s="42">
        <f>IFERROR(MONTH(emp_db[[#This Row],[Exit Date]]),"")</f>
        <v>1</v>
      </c>
    </row>
    <row r="200" spans="2:22">
      <c r="B200" s="39"/>
      <c r="C200" s="39"/>
      <c r="D200" s="39"/>
      <c r="E200" s="39"/>
      <c r="F200" s="40"/>
      <c r="G200" s="38"/>
      <c r="H200" s="43"/>
      <c r="I200" s="43"/>
      <c r="J200" s="39"/>
      <c r="K200" s="38"/>
      <c r="L200" s="39"/>
      <c r="M200" s="39"/>
      <c r="N200" s="43"/>
      <c r="O200" s="38"/>
      <c r="P200" s="38"/>
      <c r="Q200" s="41" t="str">
        <f ca="1">IF(emp_db[[#This Row],[Exit Date]]&lt;&gt;"",(emp_db[[#This Row],[Exit Date]]-emp_db[[#This Row],[Column1]])/365,IF(emp_db[[#This Row],[ID]]&lt;&gt;"",(TODAY()-emp_db[[#This Row],[Column1]])/365,""))</f>
        <v/>
      </c>
      <c r="R200" s="42" t="str">
        <f ca="1">IF(emp_db[[#This Row],[Date of Birth]]&lt;&gt;"",(TODAY()-emp_db[[#This Row],[Date of Birth]])/365,"")</f>
        <v/>
      </c>
      <c r="S200" s="42">
        <f>YEAR(emp_db[[#This Row],[Column1]])</f>
        <v>1900</v>
      </c>
      <c r="T200" s="42">
        <f>MONTH(emp_db[[#This Row],[Column1]])</f>
        <v>1</v>
      </c>
      <c r="U200" s="42">
        <f>IFERROR(YEAR(emp_db[[#This Row],[Exit Date]]),"")</f>
        <v>1900</v>
      </c>
      <c r="V200" s="42">
        <f>IFERROR(MONTH(emp_db[[#This Row],[Exit Date]]),"")</f>
        <v>1</v>
      </c>
    </row>
    <row r="201" spans="2:22">
      <c r="B201" s="39"/>
      <c r="C201" s="39"/>
      <c r="D201" s="39"/>
      <c r="E201" s="39"/>
      <c r="F201" s="40"/>
      <c r="G201" s="38"/>
      <c r="H201" s="43"/>
      <c r="I201" s="43"/>
      <c r="J201" s="39"/>
      <c r="K201" s="38"/>
      <c r="L201" s="39"/>
      <c r="M201" s="39"/>
      <c r="N201" s="43"/>
      <c r="O201" s="38"/>
      <c r="P201" s="38"/>
      <c r="Q201" s="41" t="str">
        <f ca="1">IF(emp_db[[#This Row],[Exit Date]]&lt;&gt;"",(emp_db[[#This Row],[Exit Date]]-emp_db[[#This Row],[Column1]])/365,IF(emp_db[[#This Row],[ID]]&lt;&gt;"",(TODAY()-emp_db[[#This Row],[Column1]])/365,""))</f>
        <v/>
      </c>
      <c r="R201" s="42" t="str">
        <f ca="1">IF(emp_db[[#This Row],[Date of Birth]]&lt;&gt;"",(TODAY()-emp_db[[#This Row],[Date of Birth]])/365,"")</f>
        <v/>
      </c>
      <c r="S201" s="42">
        <f>YEAR(emp_db[[#This Row],[Column1]])</f>
        <v>1900</v>
      </c>
      <c r="T201" s="42">
        <f>MONTH(emp_db[[#This Row],[Column1]])</f>
        <v>1</v>
      </c>
      <c r="U201" s="42">
        <f>IFERROR(YEAR(emp_db[[#This Row],[Exit Date]]),"")</f>
        <v>1900</v>
      </c>
      <c r="V201" s="42">
        <f>IFERROR(MONTH(emp_db[[#This Row],[Exit Date]]),"")</f>
        <v>1</v>
      </c>
    </row>
    <row r="202" spans="2:22">
      <c r="B202" s="39"/>
      <c r="C202" s="39"/>
      <c r="D202" s="39"/>
      <c r="E202" s="39"/>
      <c r="F202" s="40"/>
      <c r="G202" s="38"/>
      <c r="H202" s="43"/>
      <c r="I202" s="43"/>
      <c r="J202" s="39"/>
      <c r="K202" s="38"/>
      <c r="L202" s="39"/>
      <c r="M202" s="39"/>
      <c r="N202" s="43"/>
      <c r="O202" s="38"/>
      <c r="P202" s="38"/>
      <c r="Q202" s="41" t="str">
        <f ca="1">IF(emp_db[[#This Row],[Exit Date]]&lt;&gt;"",(emp_db[[#This Row],[Exit Date]]-emp_db[[#This Row],[Column1]])/365,IF(emp_db[[#This Row],[ID]]&lt;&gt;"",(TODAY()-emp_db[[#This Row],[Column1]])/365,""))</f>
        <v/>
      </c>
      <c r="R202" s="42" t="str">
        <f ca="1">IF(emp_db[[#This Row],[Date of Birth]]&lt;&gt;"",(TODAY()-emp_db[[#This Row],[Date of Birth]])/365,"")</f>
        <v/>
      </c>
      <c r="S202" s="42">
        <f>YEAR(emp_db[[#This Row],[Column1]])</f>
        <v>1900</v>
      </c>
      <c r="T202" s="42">
        <f>MONTH(emp_db[[#This Row],[Column1]])</f>
        <v>1</v>
      </c>
      <c r="U202" s="42">
        <f>IFERROR(YEAR(emp_db[[#This Row],[Exit Date]]),"")</f>
        <v>1900</v>
      </c>
      <c r="V202" s="42">
        <f>IFERROR(MONTH(emp_db[[#This Row],[Exit Date]]),"")</f>
        <v>1</v>
      </c>
    </row>
    <row r="203" spans="2:22">
      <c r="B203" s="39"/>
      <c r="C203" s="39"/>
      <c r="D203" s="39"/>
      <c r="E203" s="39"/>
      <c r="F203" s="40"/>
      <c r="G203" s="38"/>
      <c r="H203" s="43"/>
      <c r="I203" s="43"/>
      <c r="J203" s="39"/>
      <c r="K203" s="38"/>
      <c r="L203" s="39"/>
      <c r="M203" s="39"/>
      <c r="N203" s="43"/>
      <c r="O203" s="38"/>
      <c r="P203" s="38"/>
      <c r="Q203" s="41" t="str">
        <f ca="1">IF(emp_db[[#This Row],[Exit Date]]&lt;&gt;"",(emp_db[[#This Row],[Exit Date]]-emp_db[[#This Row],[Column1]])/365,IF(emp_db[[#This Row],[ID]]&lt;&gt;"",(TODAY()-emp_db[[#This Row],[Column1]])/365,""))</f>
        <v/>
      </c>
      <c r="R203" s="42" t="str">
        <f ca="1">IF(emp_db[[#This Row],[Date of Birth]]&lt;&gt;"",(TODAY()-emp_db[[#This Row],[Date of Birth]])/365,"")</f>
        <v/>
      </c>
      <c r="S203" s="42">
        <f>YEAR(emp_db[[#This Row],[Column1]])</f>
        <v>1900</v>
      </c>
      <c r="T203" s="42">
        <f>MONTH(emp_db[[#This Row],[Column1]])</f>
        <v>1</v>
      </c>
      <c r="U203" s="42">
        <f>IFERROR(YEAR(emp_db[[#This Row],[Exit Date]]),"")</f>
        <v>1900</v>
      </c>
      <c r="V203" s="42">
        <f>IFERROR(MONTH(emp_db[[#This Row],[Exit Date]]),"")</f>
        <v>1</v>
      </c>
    </row>
    <row r="204" spans="2:22">
      <c r="B204" s="39"/>
      <c r="C204" s="39"/>
      <c r="D204" s="39"/>
      <c r="E204" s="39"/>
      <c r="F204" s="40"/>
      <c r="G204" s="38"/>
      <c r="H204" s="43"/>
      <c r="I204" s="43"/>
      <c r="J204" s="39"/>
      <c r="K204" s="38"/>
      <c r="L204" s="39"/>
      <c r="M204" s="39"/>
      <c r="N204" s="43"/>
      <c r="O204" s="38"/>
      <c r="P204" s="38"/>
      <c r="Q204" s="41" t="str">
        <f ca="1">IF(emp_db[[#This Row],[Exit Date]]&lt;&gt;"",(emp_db[[#This Row],[Exit Date]]-emp_db[[#This Row],[Column1]])/365,IF(emp_db[[#This Row],[ID]]&lt;&gt;"",(TODAY()-emp_db[[#This Row],[Column1]])/365,""))</f>
        <v/>
      </c>
      <c r="R204" s="42" t="str">
        <f ca="1">IF(emp_db[[#This Row],[Date of Birth]]&lt;&gt;"",(TODAY()-emp_db[[#This Row],[Date of Birth]])/365,"")</f>
        <v/>
      </c>
      <c r="S204" s="42">
        <f>YEAR(emp_db[[#This Row],[Column1]])</f>
        <v>1900</v>
      </c>
      <c r="T204" s="42">
        <f>MONTH(emp_db[[#This Row],[Column1]])</f>
        <v>1</v>
      </c>
      <c r="U204" s="42">
        <f>IFERROR(YEAR(emp_db[[#This Row],[Exit Date]]),"")</f>
        <v>1900</v>
      </c>
      <c r="V204" s="42">
        <f>IFERROR(MONTH(emp_db[[#This Row],[Exit Date]]),"")</f>
        <v>1</v>
      </c>
    </row>
    <row r="205" spans="2:22">
      <c r="B205" s="39"/>
      <c r="C205" s="39"/>
      <c r="D205" s="39"/>
      <c r="E205" s="39"/>
      <c r="F205" s="40"/>
      <c r="G205" s="38"/>
      <c r="H205" s="43"/>
      <c r="I205" s="43"/>
      <c r="J205" s="39"/>
      <c r="K205" s="38"/>
      <c r="L205" s="39"/>
      <c r="M205" s="39"/>
      <c r="N205" s="43"/>
      <c r="O205" s="38"/>
      <c r="P205" s="38"/>
      <c r="Q205" s="41" t="str">
        <f ca="1">IF(emp_db[[#This Row],[Exit Date]]&lt;&gt;"",(emp_db[[#This Row],[Exit Date]]-emp_db[[#This Row],[Column1]])/365,IF(emp_db[[#This Row],[ID]]&lt;&gt;"",(TODAY()-emp_db[[#This Row],[Column1]])/365,""))</f>
        <v/>
      </c>
      <c r="R205" s="42" t="str">
        <f ca="1">IF(emp_db[[#This Row],[Date of Birth]]&lt;&gt;"",(TODAY()-emp_db[[#This Row],[Date of Birth]])/365,"")</f>
        <v/>
      </c>
      <c r="S205" s="42">
        <f>YEAR(emp_db[[#This Row],[Column1]])</f>
        <v>1900</v>
      </c>
      <c r="T205" s="42">
        <f>MONTH(emp_db[[#This Row],[Column1]])</f>
        <v>1</v>
      </c>
      <c r="U205" s="42">
        <f>IFERROR(YEAR(emp_db[[#This Row],[Exit Date]]),"")</f>
        <v>1900</v>
      </c>
      <c r="V205" s="42">
        <f>IFERROR(MONTH(emp_db[[#This Row],[Exit Date]]),"")</f>
        <v>1</v>
      </c>
    </row>
    <row r="206" spans="2:22">
      <c r="B206" s="39"/>
      <c r="C206" s="39"/>
      <c r="D206" s="39"/>
      <c r="E206" s="39"/>
      <c r="F206" s="40"/>
      <c r="G206" s="38"/>
      <c r="H206" s="43"/>
      <c r="I206" s="43"/>
      <c r="J206" s="39"/>
      <c r="K206" s="38"/>
      <c r="L206" s="39"/>
      <c r="M206" s="39"/>
      <c r="N206" s="43"/>
      <c r="O206" s="38"/>
      <c r="P206" s="38"/>
      <c r="Q206" s="41" t="str">
        <f ca="1">IF(emp_db[[#This Row],[Exit Date]]&lt;&gt;"",(emp_db[[#This Row],[Exit Date]]-emp_db[[#This Row],[Column1]])/365,IF(emp_db[[#This Row],[ID]]&lt;&gt;"",(TODAY()-emp_db[[#This Row],[Column1]])/365,""))</f>
        <v/>
      </c>
      <c r="R206" s="42" t="str">
        <f ca="1">IF(emp_db[[#This Row],[Date of Birth]]&lt;&gt;"",(TODAY()-emp_db[[#This Row],[Date of Birth]])/365,"")</f>
        <v/>
      </c>
      <c r="S206" s="42">
        <f>YEAR(emp_db[[#This Row],[Column1]])</f>
        <v>1900</v>
      </c>
      <c r="T206" s="42">
        <f>MONTH(emp_db[[#This Row],[Column1]])</f>
        <v>1</v>
      </c>
      <c r="U206" s="42">
        <f>IFERROR(YEAR(emp_db[[#This Row],[Exit Date]]),"")</f>
        <v>1900</v>
      </c>
      <c r="V206" s="42">
        <f>IFERROR(MONTH(emp_db[[#This Row],[Exit Date]]),"")</f>
        <v>1</v>
      </c>
    </row>
    <row r="207" spans="2:22">
      <c r="B207" s="39"/>
      <c r="C207" s="39"/>
      <c r="D207" s="39"/>
      <c r="E207" s="39"/>
      <c r="F207" s="40"/>
      <c r="G207" s="38"/>
      <c r="H207" s="43"/>
      <c r="I207" s="43"/>
      <c r="J207" s="39"/>
      <c r="K207" s="38"/>
      <c r="L207" s="39"/>
      <c r="M207" s="39"/>
      <c r="N207" s="43"/>
      <c r="O207" s="38"/>
      <c r="P207" s="38"/>
      <c r="Q207" s="41" t="str">
        <f ca="1">IF(emp_db[[#This Row],[Exit Date]]&lt;&gt;"",(emp_db[[#This Row],[Exit Date]]-emp_db[[#This Row],[Column1]])/365,IF(emp_db[[#This Row],[ID]]&lt;&gt;"",(TODAY()-emp_db[[#This Row],[Column1]])/365,""))</f>
        <v/>
      </c>
      <c r="R207" s="42" t="str">
        <f ca="1">IF(emp_db[[#This Row],[Date of Birth]]&lt;&gt;"",(TODAY()-emp_db[[#This Row],[Date of Birth]])/365,"")</f>
        <v/>
      </c>
      <c r="S207" s="42">
        <f>YEAR(emp_db[[#This Row],[Column1]])</f>
        <v>1900</v>
      </c>
      <c r="T207" s="42">
        <f>MONTH(emp_db[[#This Row],[Column1]])</f>
        <v>1</v>
      </c>
      <c r="U207" s="42">
        <f>IFERROR(YEAR(emp_db[[#This Row],[Exit Date]]),"")</f>
        <v>1900</v>
      </c>
      <c r="V207" s="42">
        <f>IFERROR(MONTH(emp_db[[#This Row],[Exit Date]]),"")</f>
        <v>1</v>
      </c>
    </row>
    <row r="208" spans="2:22">
      <c r="B208" s="39"/>
      <c r="C208" s="39"/>
      <c r="D208" s="39"/>
      <c r="E208" s="39"/>
      <c r="F208" s="40"/>
      <c r="G208" s="38"/>
      <c r="H208" s="43"/>
      <c r="I208" s="43"/>
      <c r="J208" s="39"/>
      <c r="K208" s="38"/>
      <c r="L208" s="39"/>
      <c r="M208" s="39"/>
      <c r="N208" s="43"/>
      <c r="O208" s="38"/>
      <c r="P208" s="38"/>
      <c r="Q208" s="41" t="str">
        <f ca="1">IF(emp_db[[#This Row],[Exit Date]]&lt;&gt;"",(emp_db[[#This Row],[Exit Date]]-emp_db[[#This Row],[Column1]])/365,IF(emp_db[[#This Row],[ID]]&lt;&gt;"",(TODAY()-emp_db[[#This Row],[Column1]])/365,""))</f>
        <v/>
      </c>
      <c r="R208" s="42" t="str">
        <f ca="1">IF(emp_db[[#This Row],[Date of Birth]]&lt;&gt;"",(TODAY()-emp_db[[#This Row],[Date of Birth]])/365,"")</f>
        <v/>
      </c>
      <c r="S208" s="42">
        <f>YEAR(emp_db[[#This Row],[Column1]])</f>
        <v>1900</v>
      </c>
      <c r="T208" s="42">
        <f>MONTH(emp_db[[#This Row],[Column1]])</f>
        <v>1</v>
      </c>
      <c r="U208" s="42">
        <f>IFERROR(YEAR(emp_db[[#This Row],[Exit Date]]),"")</f>
        <v>1900</v>
      </c>
      <c r="V208" s="42">
        <f>IFERROR(MONTH(emp_db[[#This Row],[Exit Date]]),"")</f>
        <v>1</v>
      </c>
    </row>
    <row r="209" spans="2:22">
      <c r="B209" s="39"/>
      <c r="C209" s="39"/>
      <c r="D209" s="39"/>
      <c r="E209" s="39"/>
      <c r="F209" s="40"/>
      <c r="G209" s="38"/>
      <c r="H209" s="43"/>
      <c r="I209" s="43"/>
      <c r="J209" s="39"/>
      <c r="K209" s="38"/>
      <c r="L209" s="39"/>
      <c r="M209" s="39"/>
      <c r="N209" s="43"/>
      <c r="O209" s="38"/>
      <c r="P209" s="38"/>
      <c r="Q209" s="41" t="str">
        <f ca="1">IF(emp_db[[#This Row],[Exit Date]]&lt;&gt;"",(emp_db[[#This Row],[Exit Date]]-emp_db[[#This Row],[Column1]])/365,IF(emp_db[[#This Row],[ID]]&lt;&gt;"",(TODAY()-emp_db[[#This Row],[Column1]])/365,""))</f>
        <v/>
      </c>
      <c r="R209" s="42" t="str">
        <f ca="1">IF(emp_db[[#This Row],[Date of Birth]]&lt;&gt;"",(TODAY()-emp_db[[#This Row],[Date of Birth]])/365,"")</f>
        <v/>
      </c>
      <c r="S209" s="42">
        <f>YEAR(emp_db[[#This Row],[Column1]])</f>
        <v>1900</v>
      </c>
      <c r="T209" s="42">
        <f>MONTH(emp_db[[#This Row],[Column1]])</f>
        <v>1</v>
      </c>
      <c r="U209" s="42">
        <f>IFERROR(YEAR(emp_db[[#This Row],[Exit Date]]),"")</f>
        <v>1900</v>
      </c>
      <c r="V209" s="42">
        <f>IFERROR(MONTH(emp_db[[#This Row],[Exit Date]]),"")</f>
        <v>1</v>
      </c>
    </row>
    <row r="210" spans="2:22">
      <c r="B210" s="39"/>
      <c r="C210" s="39"/>
      <c r="D210" s="39"/>
      <c r="E210" s="39"/>
      <c r="F210" s="40"/>
      <c r="G210" s="38"/>
      <c r="H210" s="43"/>
      <c r="I210" s="43"/>
      <c r="J210" s="39"/>
      <c r="K210" s="38"/>
      <c r="L210" s="39"/>
      <c r="M210" s="39"/>
      <c r="N210" s="43"/>
      <c r="O210" s="38"/>
      <c r="P210" s="38"/>
      <c r="Q210" s="41" t="str">
        <f ca="1">IF(emp_db[[#This Row],[Exit Date]]&lt;&gt;"",(emp_db[[#This Row],[Exit Date]]-emp_db[[#This Row],[Column1]])/365,IF(emp_db[[#This Row],[ID]]&lt;&gt;"",(TODAY()-emp_db[[#This Row],[Column1]])/365,""))</f>
        <v/>
      </c>
      <c r="R210" s="42" t="str">
        <f ca="1">IF(emp_db[[#This Row],[Date of Birth]]&lt;&gt;"",(TODAY()-emp_db[[#This Row],[Date of Birth]])/365,"")</f>
        <v/>
      </c>
      <c r="S210" s="42">
        <f>YEAR(emp_db[[#This Row],[Column1]])</f>
        <v>1900</v>
      </c>
      <c r="T210" s="42">
        <f>MONTH(emp_db[[#This Row],[Column1]])</f>
        <v>1</v>
      </c>
      <c r="U210" s="42">
        <f>IFERROR(YEAR(emp_db[[#This Row],[Exit Date]]),"")</f>
        <v>1900</v>
      </c>
      <c r="V210" s="42">
        <f>IFERROR(MONTH(emp_db[[#This Row],[Exit Date]]),"")</f>
        <v>1</v>
      </c>
    </row>
    <row r="211" spans="2:22">
      <c r="B211" s="39"/>
      <c r="C211" s="39"/>
      <c r="D211" s="39"/>
      <c r="E211" s="39"/>
      <c r="F211" s="40"/>
      <c r="G211" s="38"/>
      <c r="H211" s="43"/>
      <c r="I211" s="43"/>
      <c r="J211" s="39"/>
      <c r="K211" s="38"/>
      <c r="L211" s="39"/>
      <c r="M211" s="39"/>
      <c r="N211" s="43"/>
      <c r="O211" s="38"/>
      <c r="P211" s="38"/>
      <c r="Q211" s="41" t="str">
        <f ca="1">IF(emp_db[[#This Row],[Exit Date]]&lt;&gt;"",(emp_db[[#This Row],[Exit Date]]-emp_db[[#This Row],[Column1]])/365,IF(emp_db[[#This Row],[ID]]&lt;&gt;"",(TODAY()-emp_db[[#This Row],[Column1]])/365,""))</f>
        <v/>
      </c>
      <c r="R211" s="42" t="str">
        <f ca="1">IF(emp_db[[#This Row],[Date of Birth]]&lt;&gt;"",(TODAY()-emp_db[[#This Row],[Date of Birth]])/365,"")</f>
        <v/>
      </c>
      <c r="S211" s="42">
        <f>YEAR(emp_db[[#This Row],[Column1]])</f>
        <v>1900</v>
      </c>
      <c r="T211" s="42">
        <f>MONTH(emp_db[[#This Row],[Column1]])</f>
        <v>1</v>
      </c>
      <c r="U211" s="42">
        <f>IFERROR(YEAR(emp_db[[#This Row],[Exit Date]]),"")</f>
        <v>1900</v>
      </c>
      <c r="V211" s="42">
        <f>IFERROR(MONTH(emp_db[[#This Row],[Exit Date]]),"")</f>
        <v>1</v>
      </c>
    </row>
    <row r="212" spans="2:22">
      <c r="B212" s="39"/>
      <c r="C212" s="39"/>
      <c r="D212" s="39"/>
      <c r="E212" s="39"/>
      <c r="F212" s="40"/>
      <c r="G212" s="38"/>
      <c r="H212" s="43"/>
      <c r="I212" s="43"/>
      <c r="J212" s="39"/>
      <c r="K212" s="38"/>
      <c r="L212" s="39"/>
      <c r="M212" s="39"/>
      <c r="N212" s="43"/>
      <c r="O212" s="38"/>
      <c r="P212" s="38"/>
      <c r="Q212" s="41" t="str">
        <f ca="1">IF(emp_db[[#This Row],[Exit Date]]&lt;&gt;"",(emp_db[[#This Row],[Exit Date]]-emp_db[[#This Row],[Column1]])/365,IF(emp_db[[#This Row],[ID]]&lt;&gt;"",(TODAY()-emp_db[[#This Row],[Column1]])/365,""))</f>
        <v/>
      </c>
      <c r="R212" s="42" t="str">
        <f ca="1">IF(emp_db[[#This Row],[Date of Birth]]&lt;&gt;"",(TODAY()-emp_db[[#This Row],[Date of Birth]])/365,"")</f>
        <v/>
      </c>
      <c r="S212" s="42">
        <f>YEAR(emp_db[[#This Row],[Column1]])</f>
        <v>1900</v>
      </c>
      <c r="T212" s="42">
        <f>MONTH(emp_db[[#This Row],[Column1]])</f>
        <v>1</v>
      </c>
      <c r="U212" s="42">
        <f>IFERROR(YEAR(emp_db[[#This Row],[Exit Date]]),"")</f>
        <v>1900</v>
      </c>
      <c r="V212" s="42">
        <f>IFERROR(MONTH(emp_db[[#This Row],[Exit Date]]),"")</f>
        <v>1</v>
      </c>
    </row>
    <row r="213" spans="2:22">
      <c r="B213" s="39"/>
      <c r="C213" s="39"/>
      <c r="D213" s="39"/>
      <c r="E213" s="39"/>
      <c r="F213" s="40"/>
      <c r="G213" s="38"/>
      <c r="H213" s="43"/>
      <c r="I213" s="43"/>
      <c r="J213" s="39"/>
      <c r="K213" s="38"/>
      <c r="L213" s="39"/>
      <c r="M213" s="39"/>
      <c r="N213" s="43"/>
      <c r="O213" s="38"/>
      <c r="P213" s="38"/>
      <c r="Q213" s="41" t="str">
        <f ca="1">IF(emp_db[[#This Row],[Exit Date]]&lt;&gt;"",(emp_db[[#This Row],[Exit Date]]-emp_db[[#This Row],[Column1]])/365,IF(emp_db[[#This Row],[ID]]&lt;&gt;"",(TODAY()-emp_db[[#This Row],[Column1]])/365,""))</f>
        <v/>
      </c>
      <c r="R213" s="42" t="str">
        <f ca="1">IF(emp_db[[#This Row],[Date of Birth]]&lt;&gt;"",(TODAY()-emp_db[[#This Row],[Date of Birth]])/365,"")</f>
        <v/>
      </c>
      <c r="S213" s="42">
        <f>YEAR(emp_db[[#This Row],[Column1]])</f>
        <v>1900</v>
      </c>
      <c r="T213" s="42">
        <f>MONTH(emp_db[[#This Row],[Column1]])</f>
        <v>1</v>
      </c>
      <c r="U213" s="42">
        <f>IFERROR(YEAR(emp_db[[#This Row],[Exit Date]]),"")</f>
        <v>1900</v>
      </c>
      <c r="V213" s="42">
        <f>IFERROR(MONTH(emp_db[[#This Row],[Exit Date]]),"")</f>
        <v>1</v>
      </c>
    </row>
    <row r="214" spans="2:22">
      <c r="B214" s="39"/>
      <c r="C214" s="39"/>
      <c r="D214" s="39"/>
      <c r="E214" s="39"/>
      <c r="F214" s="40"/>
      <c r="G214" s="38"/>
      <c r="H214" s="43"/>
      <c r="I214" s="43"/>
      <c r="J214" s="39"/>
      <c r="K214" s="38"/>
      <c r="L214" s="39"/>
      <c r="M214" s="39"/>
      <c r="N214" s="43"/>
      <c r="O214" s="38"/>
      <c r="P214" s="38"/>
      <c r="Q214" s="41" t="str">
        <f ca="1">IF(emp_db[[#This Row],[Exit Date]]&lt;&gt;"",(emp_db[[#This Row],[Exit Date]]-emp_db[[#This Row],[Column1]])/365,IF(emp_db[[#This Row],[ID]]&lt;&gt;"",(TODAY()-emp_db[[#This Row],[Column1]])/365,""))</f>
        <v/>
      </c>
      <c r="R214" s="42" t="str">
        <f ca="1">IF(emp_db[[#This Row],[Date of Birth]]&lt;&gt;"",(TODAY()-emp_db[[#This Row],[Date of Birth]])/365,"")</f>
        <v/>
      </c>
      <c r="S214" s="42">
        <f>YEAR(emp_db[[#This Row],[Column1]])</f>
        <v>1900</v>
      </c>
      <c r="T214" s="42">
        <f>MONTH(emp_db[[#This Row],[Column1]])</f>
        <v>1</v>
      </c>
      <c r="U214" s="42">
        <f>IFERROR(YEAR(emp_db[[#This Row],[Exit Date]]),"")</f>
        <v>1900</v>
      </c>
      <c r="V214" s="42">
        <f>IFERROR(MONTH(emp_db[[#This Row],[Exit Date]]),"")</f>
        <v>1</v>
      </c>
    </row>
    <row r="215" spans="2:22">
      <c r="B215" s="39"/>
      <c r="C215" s="39"/>
      <c r="D215" s="39"/>
      <c r="E215" s="39"/>
      <c r="F215" s="40"/>
      <c r="G215" s="38"/>
      <c r="H215" s="43"/>
      <c r="I215" s="43"/>
      <c r="J215" s="39"/>
      <c r="K215" s="38"/>
      <c r="L215" s="39"/>
      <c r="M215" s="39"/>
      <c r="N215" s="43"/>
      <c r="O215" s="38"/>
      <c r="P215" s="38"/>
      <c r="Q215" s="41" t="str">
        <f ca="1">IF(emp_db[[#This Row],[Exit Date]]&lt;&gt;"",(emp_db[[#This Row],[Exit Date]]-emp_db[[#This Row],[Column1]])/365,IF(emp_db[[#This Row],[ID]]&lt;&gt;"",(TODAY()-emp_db[[#This Row],[Column1]])/365,""))</f>
        <v/>
      </c>
      <c r="R215" s="42" t="str">
        <f ca="1">IF(emp_db[[#This Row],[Date of Birth]]&lt;&gt;"",(TODAY()-emp_db[[#This Row],[Date of Birth]])/365,"")</f>
        <v/>
      </c>
      <c r="S215" s="42">
        <f>YEAR(emp_db[[#This Row],[Column1]])</f>
        <v>1900</v>
      </c>
      <c r="T215" s="42">
        <f>MONTH(emp_db[[#This Row],[Column1]])</f>
        <v>1</v>
      </c>
      <c r="U215" s="42">
        <f>IFERROR(YEAR(emp_db[[#This Row],[Exit Date]]),"")</f>
        <v>1900</v>
      </c>
      <c r="V215" s="42">
        <f>IFERROR(MONTH(emp_db[[#This Row],[Exit Date]]),"")</f>
        <v>1</v>
      </c>
    </row>
    <row r="216" spans="2:22">
      <c r="B216" s="39"/>
      <c r="C216" s="39"/>
      <c r="D216" s="39"/>
      <c r="E216" s="39"/>
      <c r="F216" s="40"/>
      <c r="G216" s="38"/>
      <c r="H216" s="43"/>
      <c r="I216" s="43"/>
      <c r="J216" s="39"/>
      <c r="K216" s="38"/>
      <c r="L216" s="39"/>
      <c r="M216" s="39"/>
      <c r="N216" s="43"/>
      <c r="O216" s="38"/>
      <c r="P216" s="38"/>
      <c r="Q216" s="41" t="str">
        <f ca="1">IF(emp_db[[#This Row],[Exit Date]]&lt;&gt;"",(emp_db[[#This Row],[Exit Date]]-emp_db[[#This Row],[Column1]])/365,IF(emp_db[[#This Row],[ID]]&lt;&gt;"",(TODAY()-emp_db[[#This Row],[Column1]])/365,""))</f>
        <v/>
      </c>
      <c r="R216" s="42" t="str">
        <f ca="1">IF(emp_db[[#This Row],[Date of Birth]]&lt;&gt;"",(TODAY()-emp_db[[#This Row],[Date of Birth]])/365,"")</f>
        <v/>
      </c>
      <c r="S216" s="42">
        <f>YEAR(emp_db[[#This Row],[Column1]])</f>
        <v>1900</v>
      </c>
      <c r="T216" s="42">
        <f>MONTH(emp_db[[#This Row],[Column1]])</f>
        <v>1</v>
      </c>
      <c r="U216" s="42">
        <f>IFERROR(YEAR(emp_db[[#This Row],[Exit Date]]),"")</f>
        <v>1900</v>
      </c>
      <c r="V216" s="42">
        <f>IFERROR(MONTH(emp_db[[#This Row],[Exit Date]]),"")</f>
        <v>1</v>
      </c>
    </row>
    <row r="217" spans="2:22">
      <c r="B217" s="39"/>
      <c r="C217" s="39"/>
      <c r="D217" s="39"/>
      <c r="E217" s="39"/>
      <c r="F217" s="40"/>
      <c r="G217" s="38"/>
      <c r="H217" s="43"/>
      <c r="I217" s="43"/>
      <c r="J217" s="39"/>
      <c r="K217" s="38"/>
      <c r="L217" s="39"/>
      <c r="M217" s="39"/>
      <c r="N217" s="43"/>
      <c r="O217" s="38"/>
      <c r="P217" s="38"/>
      <c r="Q217" s="41" t="str">
        <f ca="1">IF(emp_db[[#This Row],[Exit Date]]&lt;&gt;"",(emp_db[[#This Row],[Exit Date]]-emp_db[[#This Row],[Column1]])/365,IF(emp_db[[#This Row],[ID]]&lt;&gt;"",(TODAY()-emp_db[[#This Row],[Column1]])/365,""))</f>
        <v/>
      </c>
      <c r="R217" s="42" t="str">
        <f ca="1">IF(emp_db[[#This Row],[Date of Birth]]&lt;&gt;"",(TODAY()-emp_db[[#This Row],[Date of Birth]])/365,"")</f>
        <v/>
      </c>
      <c r="S217" s="42">
        <f>YEAR(emp_db[[#This Row],[Column1]])</f>
        <v>1900</v>
      </c>
      <c r="T217" s="42">
        <f>MONTH(emp_db[[#This Row],[Column1]])</f>
        <v>1</v>
      </c>
      <c r="U217" s="42">
        <f>IFERROR(YEAR(emp_db[[#This Row],[Exit Date]]),"")</f>
        <v>1900</v>
      </c>
      <c r="V217" s="42">
        <f>IFERROR(MONTH(emp_db[[#This Row],[Exit Date]]),"")</f>
        <v>1</v>
      </c>
    </row>
    <row r="218" spans="2:22">
      <c r="B218" s="39"/>
      <c r="C218" s="39"/>
      <c r="D218" s="39"/>
      <c r="E218" s="39"/>
      <c r="F218" s="40"/>
      <c r="G218" s="38"/>
      <c r="H218" s="43"/>
      <c r="I218" s="43"/>
      <c r="J218" s="39"/>
      <c r="K218" s="38"/>
      <c r="L218" s="39"/>
      <c r="M218" s="39"/>
      <c r="N218" s="43"/>
      <c r="O218" s="38"/>
      <c r="P218" s="38"/>
      <c r="Q218" s="41" t="str">
        <f ca="1">IF(emp_db[[#This Row],[Exit Date]]&lt;&gt;"",(emp_db[[#This Row],[Exit Date]]-emp_db[[#This Row],[Column1]])/365,IF(emp_db[[#This Row],[ID]]&lt;&gt;"",(TODAY()-emp_db[[#This Row],[Column1]])/365,""))</f>
        <v/>
      </c>
      <c r="R218" s="42" t="str">
        <f ca="1">IF(emp_db[[#This Row],[Date of Birth]]&lt;&gt;"",(TODAY()-emp_db[[#This Row],[Date of Birth]])/365,"")</f>
        <v/>
      </c>
      <c r="S218" s="42">
        <f>YEAR(emp_db[[#This Row],[Column1]])</f>
        <v>1900</v>
      </c>
      <c r="T218" s="42">
        <f>MONTH(emp_db[[#This Row],[Column1]])</f>
        <v>1</v>
      </c>
      <c r="U218" s="42">
        <f>IFERROR(YEAR(emp_db[[#This Row],[Exit Date]]),"")</f>
        <v>1900</v>
      </c>
      <c r="V218" s="42">
        <f>IFERROR(MONTH(emp_db[[#This Row],[Exit Date]]),"")</f>
        <v>1</v>
      </c>
    </row>
    <row r="219" spans="2:22">
      <c r="B219" s="39"/>
      <c r="C219" s="39"/>
      <c r="D219" s="39"/>
      <c r="E219" s="39"/>
      <c r="F219" s="40"/>
      <c r="G219" s="38"/>
      <c r="H219" s="43"/>
      <c r="I219" s="43"/>
      <c r="J219" s="39"/>
      <c r="K219" s="38"/>
      <c r="L219" s="39"/>
      <c r="M219" s="39"/>
      <c r="N219" s="43"/>
      <c r="O219" s="38"/>
      <c r="P219" s="38"/>
      <c r="Q219" s="41" t="str">
        <f ca="1">IF(emp_db[[#This Row],[Exit Date]]&lt;&gt;"",(emp_db[[#This Row],[Exit Date]]-emp_db[[#This Row],[Column1]])/365,IF(emp_db[[#This Row],[ID]]&lt;&gt;"",(TODAY()-emp_db[[#This Row],[Column1]])/365,""))</f>
        <v/>
      </c>
      <c r="R219" s="42" t="str">
        <f ca="1">IF(emp_db[[#This Row],[Date of Birth]]&lt;&gt;"",(TODAY()-emp_db[[#This Row],[Date of Birth]])/365,"")</f>
        <v/>
      </c>
      <c r="S219" s="42">
        <f>YEAR(emp_db[[#This Row],[Column1]])</f>
        <v>1900</v>
      </c>
      <c r="T219" s="42">
        <f>MONTH(emp_db[[#This Row],[Column1]])</f>
        <v>1</v>
      </c>
      <c r="U219" s="42">
        <f>IFERROR(YEAR(emp_db[[#This Row],[Exit Date]]),"")</f>
        <v>1900</v>
      </c>
      <c r="V219" s="42">
        <f>IFERROR(MONTH(emp_db[[#This Row],[Exit Date]]),"")</f>
        <v>1</v>
      </c>
    </row>
    <row r="220" spans="2:22">
      <c r="B220" s="39"/>
      <c r="C220" s="39"/>
      <c r="D220" s="39"/>
      <c r="E220" s="39"/>
      <c r="F220" s="40"/>
      <c r="G220" s="38"/>
      <c r="H220" s="43"/>
      <c r="I220" s="43"/>
      <c r="J220" s="39"/>
      <c r="K220" s="38"/>
      <c r="L220" s="39"/>
      <c r="M220" s="39"/>
      <c r="N220" s="43"/>
      <c r="O220" s="38"/>
      <c r="P220" s="38"/>
      <c r="Q220" s="41" t="str">
        <f ca="1">IF(emp_db[[#This Row],[Exit Date]]&lt;&gt;"",(emp_db[[#This Row],[Exit Date]]-emp_db[[#This Row],[Column1]])/365,IF(emp_db[[#This Row],[ID]]&lt;&gt;"",(TODAY()-emp_db[[#This Row],[Column1]])/365,""))</f>
        <v/>
      </c>
      <c r="R220" s="42" t="str">
        <f ca="1">IF(emp_db[[#This Row],[Date of Birth]]&lt;&gt;"",(TODAY()-emp_db[[#This Row],[Date of Birth]])/365,"")</f>
        <v/>
      </c>
      <c r="S220" s="42">
        <f>YEAR(emp_db[[#This Row],[Column1]])</f>
        <v>1900</v>
      </c>
      <c r="T220" s="42">
        <f>MONTH(emp_db[[#This Row],[Column1]])</f>
        <v>1</v>
      </c>
      <c r="U220" s="42">
        <f>IFERROR(YEAR(emp_db[[#This Row],[Exit Date]]),"")</f>
        <v>1900</v>
      </c>
      <c r="V220" s="42">
        <f>IFERROR(MONTH(emp_db[[#This Row],[Exit Date]]),"")</f>
        <v>1</v>
      </c>
    </row>
    <row r="221" spans="2:22">
      <c r="B221" s="39"/>
      <c r="C221" s="39"/>
      <c r="D221" s="39"/>
      <c r="E221" s="39"/>
      <c r="F221" s="40"/>
      <c r="G221" s="38"/>
      <c r="H221" s="43"/>
      <c r="I221" s="43"/>
      <c r="J221" s="39"/>
      <c r="K221" s="38"/>
      <c r="L221" s="39"/>
      <c r="M221" s="39"/>
      <c r="N221" s="43"/>
      <c r="O221" s="38"/>
      <c r="P221" s="38"/>
      <c r="Q221" s="41" t="str">
        <f ca="1">IF(emp_db[[#This Row],[Exit Date]]&lt;&gt;"",(emp_db[[#This Row],[Exit Date]]-emp_db[[#This Row],[Column1]])/365,IF(emp_db[[#This Row],[ID]]&lt;&gt;"",(TODAY()-emp_db[[#This Row],[Column1]])/365,""))</f>
        <v/>
      </c>
      <c r="R221" s="42" t="str">
        <f ca="1">IF(emp_db[[#This Row],[Date of Birth]]&lt;&gt;"",(TODAY()-emp_db[[#This Row],[Date of Birth]])/365,"")</f>
        <v/>
      </c>
      <c r="S221" s="42">
        <f>YEAR(emp_db[[#This Row],[Column1]])</f>
        <v>1900</v>
      </c>
      <c r="T221" s="42">
        <f>MONTH(emp_db[[#This Row],[Column1]])</f>
        <v>1</v>
      </c>
      <c r="U221" s="42">
        <f>IFERROR(YEAR(emp_db[[#This Row],[Exit Date]]),"")</f>
        <v>1900</v>
      </c>
      <c r="V221" s="42">
        <f>IFERROR(MONTH(emp_db[[#This Row],[Exit Date]]),"")</f>
        <v>1</v>
      </c>
    </row>
    <row r="222" spans="2:22">
      <c r="B222" s="39"/>
      <c r="C222" s="39"/>
      <c r="D222" s="39"/>
      <c r="E222" s="39"/>
      <c r="F222" s="40"/>
      <c r="G222" s="38"/>
      <c r="H222" s="43"/>
      <c r="I222" s="43"/>
      <c r="J222" s="39"/>
      <c r="K222" s="38"/>
      <c r="L222" s="39"/>
      <c r="M222" s="39"/>
      <c r="N222" s="43"/>
      <c r="O222" s="38"/>
      <c r="P222" s="38"/>
      <c r="Q222" s="41" t="str">
        <f ca="1">IF(emp_db[[#This Row],[Exit Date]]&lt;&gt;"",(emp_db[[#This Row],[Exit Date]]-emp_db[[#This Row],[Column1]])/365,IF(emp_db[[#This Row],[ID]]&lt;&gt;"",(TODAY()-emp_db[[#This Row],[Column1]])/365,""))</f>
        <v/>
      </c>
      <c r="R222" s="42" t="str">
        <f ca="1">IF(emp_db[[#This Row],[Date of Birth]]&lt;&gt;"",(TODAY()-emp_db[[#This Row],[Date of Birth]])/365,"")</f>
        <v/>
      </c>
      <c r="S222" s="42">
        <f>YEAR(emp_db[[#This Row],[Column1]])</f>
        <v>1900</v>
      </c>
      <c r="T222" s="42">
        <f>MONTH(emp_db[[#This Row],[Column1]])</f>
        <v>1</v>
      </c>
      <c r="U222" s="42">
        <f>IFERROR(YEAR(emp_db[[#This Row],[Exit Date]]),"")</f>
        <v>1900</v>
      </c>
      <c r="V222" s="42">
        <f>IFERROR(MONTH(emp_db[[#This Row],[Exit Date]]),"")</f>
        <v>1</v>
      </c>
    </row>
    <row r="223" spans="2:22">
      <c r="B223" s="39"/>
      <c r="C223" s="39"/>
      <c r="D223" s="39"/>
      <c r="E223" s="39"/>
      <c r="F223" s="40"/>
      <c r="G223" s="38"/>
      <c r="H223" s="43"/>
      <c r="I223" s="43"/>
      <c r="J223" s="39"/>
      <c r="K223" s="38"/>
      <c r="L223" s="39"/>
      <c r="M223" s="39"/>
      <c r="N223" s="43"/>
      <c r="O223" s="38"/>
      <c r="P223" s="38"/>
      <c r="Q223" s="41" t="str">
        <f ca="1">IF(emp_db[[#This Row],[Exit Date]]&lt;&gt;"",(emp_db[[#This Row],[Exit Date]]-emp_db[[#This Row],[Column1]])/365,IF(emp_db[[#This Row],[ID]]&lt;&gt;"",(TODAY()-emp_db[[#This Row],[Column1]])/365,""))</f>
        <v/>
      </c>
      <c r="R223" s="42" t="str">
        <f ca="1">IF(emp_db[[#This Row],[Date of Birth]]&lt;&gt;"",(TODAY()-emp_db[[#This Row],[Date of Birth]])/365,"")</f>
        <v/>
      </c>
      <c r="S223" s="42">
        <f>YEAR(emp_db[[#This Row],[Column1]])</f>
        <v>1900</v>
      </c>
      <c r="T223" s="42">
        <f>MONTH(emp_db[[#This Row],[Column1]])</f>
        <v>1</v>
      </c>
      <c r="U223" s="42">
        <f>IFERROR(YEAR(emp_db[[#This Row],[Exit Date]]),"")</f>
        <v>1900</v>
      </c>
      <c r="V223" s="42">
        <f>IFERROR(MONTH(emp_db[[#This Row],[Exit Date]]),"")</f>
        <v>1</v>
      </c>
    </row>
    <row r="224" spans="2:22">
      <c r="B224" s="39"/>
      <c r="C224" s="39"/>
      <c r="D224" s="39"/>
      <c r="E224" s="39"/>
      <c r="F224" s="40"/>
      <c r="G224" s="38"/>
      <c r="H224" s="43"/>
      <c r="I224" s="43"/>
      <c r="J224" s="39"/>
      <c r="K224" s="38"/>
      <c r="L224" s="39"/>
      <c r="M224" s="39"/>
      <c r="N224" s="43"/>
      <c r="O224" s="38"/>
      <c r="P224" s="38"/>
      <c r="Q224" s="41" t="str">
        <f ca="1">IF(emp_db[[#This Row],[Exit Date]]&lt;&gt;"",(emp_db[[#This Row],[Exit Date]]-emp_db[[#This Row],[Column1]])/365,IF(emp_db[[#This Row],[ID]]&lt;&gt;"",(TODAY()-emp_db[[#This Row],[Column1]])/365,""))</f>
        <v/>
      </c>
      <c r="R224" s="42" t="str">
        <f ca="1">IF(emp_db[[#This Row],[Date of Birth]]&lt;&gt;"",(TODAY()-emp_db[[#This Row],[Date of Birth]])/365,"")</f>
        <v/>
      </c>
      <c r="S224" s="42">
        <f>YEAR(emp_db[[#This Row],[Column1]])</f>
        <v>1900</v>
      </c>
      <c r="T224" s="42">
        <f>MONTH(emp_db[[#This Row],[Column1]])</f>
        <v>1</v>
      </c>
      <c r="U224" s="42">
        <f>IFERROR(YEAR(emp_db[[#This Row],[Exit Date]]),"")</f>
        <v>1900</v>
      </c>
      <c r="V224" s="42">
        <f>IFERROR(MONTH(emp_db[[#This Row],[Exit Date]]),"")</f>
        <v>1</v>
      </c>
    </row>
    <row r="225" spans="2:22">
      <c r="B225" s="39"/>
      <c r="C225" s="39"/>
      <c r="D225" s="39"/>
      <c r="E225" s="39"/>
      <c r="F225" s="40"/>
      <c r="G225" s="38"/>
      <c r="H225" s="43"/>
      <c r="I225" s="43"/>
      <c r="J225" s="39"/>
      <c r="K225" s="38"/>
      <c r="L225" s="39"/>
      <c r="M225" s="39"/>
      <c r="N225" s="43"/>
      <c r="O225" s="38"/>
      <c r="P225" s="38"/>
      <c r="Q225" s="41" t="str">
        <f ca="1">IF(emp_db[[#This Row],[Exit Date]]&lt;&gt;"",(emp_db[[#This Row],[Exit Date]]-emp_db[[#This Row],[Column1]])/365,IF(emp_db[[#This Row],[ID]]&lt;&gt;"",(TODAY()-emp_db[[#This Row],[Column1]])/365,""))</f>
        <v/>
      </c>
      <c r="R225" s="42" t="str">
        <f ca="1">IF(emp_db[[#This Row],[Date of Birth]]&lt;&gt;"",(TODAY()-emp_db[[#This Row],[Date of Birth]])/365,"")</f>
        <v/>
      </c>
      <c r="S225" s="42">
        <f>YEAR(emp_db[[#This Row],[Column1]])</f>
        <v>1900</v>
      </c>
      <c r="T225" s="42">
        <f>MONTH(emp_db[[#This Row],[Column1]])</f>
        <v>1</v>
      </c>
      <c r="U225" s="42">
        <f>IFERROR(YEAR(emp_db[[#This Row],[Exit Date]]),"")</f>
        <v>1900</v>
      </c>
      <c r="V225" s="42">
        <f>IFERROR(MONTH(emp_db[[#This Row],[Exit Date]]),"")</f>
        <v>1</v>
      </c>
    </row>
    <row r="226" spans="2:22">
      <c r="B226" s="39"/>
      <c r="C226" s="39"/>
      <c r="D226" s="39"/>
      <c r="E226" s="39"/>
      <c r="F226" s="40"/>
      <c r="G226" s="38"/>
      <c r="H226" s="43"/>
      <c r="I226" s="43"/>
      <c r="J226" s="39"/>
      <c r="K226" s="38"/>
      <c r="L226" s="39"/>
      <c r="M226" s="39"/>
      <c r="N226" s="43"/>
      <c r="O226" s="38"/>
      <c r="P226" s="38"/>
      <c r="Q226" s="41" t="str">
        <f ca="1">IF(emp_db[[#This Row],[Exit Date]]&lt;&gt;"",(emp_db[[#This Row],[Exit Date]]-emp_db[[#This Row],[Column1]])/365,IF(emp_db[[#This Row],[ID]]&lt;&gt;"",(TODAY()-emp_db[[#This Row],[Column1]])/365,""))</f>
        <v/>
      </c>
      <c r="R226" s="42" t="str">
        <f ca="1">IF(emp_db[[#This Row],[Date of Birth]]&lt;&gt;"",(TODAY()-emp_db[[#This Row],[Date of Birth]])/365,"")</f>
        <v/>
      </c>
      <c r="S226" s="42">
        <f>YEAR(emp_db[[#This Row],[Column1]])</f>
        <v>1900</v>
      </c>
      <c r="T226" s="42">
        <f>MONTH(emp_db[[#This Row],[Column1]])</f>
        <v>1</v>
      </c>
      <c r="U226" s="42">
        <f>IFERROR(YEAR(emp_db[[#This Row],[Exit Date]]),"")</f>
        <v>1900</v>
      </c>
      <c r="V226" s="42">
        <f>IFERROR(MONTH(emp_db[[#This Row],[Exit Date]]),"")</f>
        <v>1</v>
      </c>
    </row>
    <row r="227" spans="2:22">
      <c r="B227" s="39"/>
      <c r="C227" s="39"/>
      <c r="D227" s="39"/>
      <c r="E227" s="39"/>
      <c r="F227" s="40"/>
      <c r="G227" s="38"/>
      <c r="H227" s="43"/>
      <c r="I227" s="43"/>
      <c r="J227" s="39"/>
      <c r="K227" s="38"/>
      <c r="L227" s="39"/>
      <c r="M227" s="39"/>
      <c r="N227" s="43"/>
      <c r="O227" s="38"/>
      <c r="P227" s="38"/>
      <c r="Q227" s="41" t="str">
        <f ca="1">IF(emp_db[[#This Row],[Exit Date]]&lt;&gt;"",(emp_db[[#This Row],[Exit Date]]-emp_db[[#This Row],[Column1]])/365,IF(emp_db[[#This Row],[ID]]&lt;&gt;"",(TODAY()-emp_db[[#This Row],[Column1]])/365,""))</f>
        <v/>
      </c>
      <c r="R227" s="42" t="str">
        <f ca="1">IF(emp_db[[#This Row],[Date of Birth]]&lt;&gt;"",(TODAY()-emp_db[[#This Row],[Date of Birth]])/365,"")</f>
        <v/>
      </c>
      <c r="S227" s="42">
        <f>YEAR(emp_db[[#This Row],[Column1]])</f>
        <v>1900</v>
      </c>
      <c r="T227" s="42">
        <f>MONTH(emp_db[[#This Row],[Column1]])</f>
        <v>1</v>
      </c>
      <c r="U227" s="42">
        <f>IFERROR(YEAR(emp_db[[#This Row],[Exit Date]]),"")</f>
        <v>1900</v>
      </c>
      <c r="V227" s="42">
        <f>IFERROR(MONTH(emp_db[[#This Row],[Exit Date]]),"")</f>
        <v>1</v>
      </c>
    </row>
    <row r="228" spans="2:22">
      <c r="B228" s="39"/>
      <c r="C228" s="39"/>
      <c r="D228" s="39"/>
      <c r="E228" s="39"/>
      <c r="F228" s="40"/>
      <c r="G228" s="38"/>
      <c r="H228" s="43"/>
      <c r="I228" s="43"/>
      <c r="J228" s="39"/>
      <c r="K228" s="38"/>
      <c r="L228" s="39"/>
      <c r="M228" s="39"/>
      <c r="N228" s="43"/>
      <c r="O228" s="38"/>
      <c r="P228" s="38"/>
      <c r="Q228" s="41" t="str">
        <f ca="1">IF(emp_db[[#This Row],[Exit Date]]&lt;&gt;"",(emp_db[[#This Row],[Exit Date]]-emp_db[[#This Row],[Column1]])/365,IF(emp_db[[#This Row],[ID]]&lt;&gt;"",(TODAY()-emp_db[[#This Row],[Column1]])/365,""))</f>
        <v/>
      </c>
      <c r="R228" s="42" t="str">
        <f ca="1">IF(emp_db[[#This Row],[Date of Birth]]&lt;&gt;"",(TODAY()-emp_db[[#This Row],[Date of Birth]])/365,"")</f>
        <v/>
      </c>
      <c r="S228" s="42">
        <f>YEAR(emp_db[[#This Row],[Column1]])</f>
        <v>1900</v>
      </c>
      <c r="T228" s="42">
        <f>MONTH(emp_db[[#This Row],[Column1]])</f>
        <v>1</v>
      </c>
      <c r="U228" s="42">
        <f>IFERROR(YEAR(emp_db[[#This Row],[Exit Date]]),"")</f>
        <v>1900</v>
      </c>
      <c r="V228" s="42">
        <f>IFERROR(MONTH(emp_db[[#This Row],[Exit Date]]),"")</f>
        <v>1</v>
      </c>
    </row>
    <row r="229" spans="2:22">
      <c r="B229" s="39"/>
      <c r="C229" s="39"/>
      <c r="D229" s="39"/>
      <c r="E229" s="39"/>
      <c r="F229" s="40"/>
      <c r="G229" s="38"/>
      <c r="H229" s="43"/>
      <c r="I229" s="43"/>
      <c r="J229" s="39"/>
      <c r="K229" s="38"/>
      <c r="L229" s="39"/>
      <c r="M229" s="39"/>
      <c r="N229" s="43"/>
      <c r="O229" s="38"/>
      <c r="P229" s="38"/>
      <c r="Q229" s="41" t="str">
        <f ca="1">IF(emp_db[[#This Row],[Exit Date]]&lt;&gt;"",(emp_db[[#This Row],[Exit Date]]-emp_db[[#This Row],[Column1]])/365,IF(emp_db[[#This Row],[ID]]&lt;&gt;"",(TODAY()-emp_db[[#This Row],[Column1]])/365,""))</f>
        <v/>
      </c>
      <c r="R229" s="42" t="str">
        <f ca="1">IF(emp_db[[#This Row],[Date of Birth]]&lt;&gt;"",(TODAY()-emp_db[[#This Row],[Date of Birth]])/365,"")</f>
        <v/>
      </c>
      <c r="S229" s="42">
        <f>YEAR(emp_db[[#This Row],[Column1]])</f>
        <v>1900</v>
      </c>
      <c r="T229" s="42">
        <f>MONTH(emp_db[[#This Row],[Column1]])</f>
        <v>1</v>
      </c>
      <c r="U229" s="42">
        <f>IFERROR(YEAR(emp_db[[#This Row],[Exit Date]]),"")</f>
        <v>1900</v>
      </c>
      <c r="V229" s="42">
        <f>IFERROR(MONTH(emp_db[[#This Row],[Exit Date]]),"")</f>
        <v>1</v>
      </c>
    </row>
    <row r="230" spans="2:22">
      <c r="B230" s="39"/>
      <c r="C230" s="39"/>
      <c r="D230" s="39"/>
      <c r="E230" s="39"/>
      <c r="F230" s="40"/>
      <c r="G230" s="38"/>
      <c r="H230" s="43"/>
      <c r="I230" s="43"/>
      <c r="J230" s="39"/>
      <c r="K230" s="38"/>
      <c r="L230" s="39"/>
      <c r="M230" s="39"/>
      <c r="N230" s="43"/>
      <c r="O230" s="38"/>
      <c r="P230" s="38"/>
      <c r="Q230" s="41" t="str">
        <f ca="1">IF(emp_db[[#This Row],[Exit Date]]&lt;&gt;"",(emp_db[[#This Row],[Exit Date]]-emp_db[[#This Row],[Column1]])/365,IF(emp_db[[#This Row],[ID]]&lt;&gt;"",(TODAY()-emp_db[[#This Row],[Column1]])/365,""))</f>
        <v/>
      </c>
      <c r="R230" s="42" t="str">
        <f ca="1">IF(emp_db[[#This Row],[Date of Birth]]&lt;&gt;"",(TODAY()-emp_db[[#This Row],[Date of Birth]])/365,"")</f>
        <v/>
      </c>
      <c r="S230" s="42">
        <f>YEAR(emp_db[[#This Row],[Column1]])</f>
        <v>1900</v>
      </c>
      <c r="T230" s="42">
        <f>MONTH(emp_db[[#This Row],[Column1]])</f>
        <v>1</v>
      </c>
      <c r="U230" s="42">
        <f>IFERROR(YEAR(emp_db[[#This Row],[Exit Date]]),"")</f>
        <v>1900</v>
      </c>
      <c r="V230" s="42">
        <f>IFERROR(MONTH(emp_db[[#This Row],[Exit Date]]),"")</f>
        <v>1</v>
      </c>
    </row>
    <row r="231" spans="2:22">
      <c r="B231" s="39"/>
      <c r="C231" s="39"/>
      <c r="D231" s="39"/>
      <c r="E231" s="39"/>
      <c r="F231" s="40"/>
      <c r="G231" s="38"/>
      <c r="H231" s="43"/>
      <c r="I231" s="43"/>
      <c r="J231" s="39"/>
      <c r="K231" s="38"/>
      <c r="L231" s="39"/>
      <c r="M231" s="39"/>
      <c r="N231" s="43"/>
      <c r="O231" s="38"/>
      <c r="P231" s="38"/>
      <c r="Q231" s="41" t="str">
        <f ca="1">IF(emp_db[[#This Row],[Exit Date]]&lt;&gt;"",(emp_db[[#This Row],[Exit Date]]-emp_db[[#This Row],[Column1]])/365,IF(emp_db[[#This Row],[ID]]&lt;&gt;"",(TODAY()-emp_db[[#This Row],[Column1]])/365,""))</f>
        <v/>
      </c>
      <c r="R231" s="42" t="str">
        <f ca="1">IF(emp_db[[#This Row],[Date of Birth]]&lt;&gt;"",(TODAY()-emp_db[[#This Row],[Date of Birth]])/365,"")</f>
        <v/>
      </c>
      <c r="S231" s="42">
        <f>YEAR(emp_db[[#This Row],[Column1]])</f>
        <v>1900</v>
      </c>
      <c r="T231" s="42">
        <f>MONTH(emp_db[[#This Row],[Column1]])</f>
        <v>1</v>
      </c>
      <c r="U231" s="42">
        <f>IFERROR(YEAR(emp_db[[#This Row],[Exit Date]]),"")</f>
        <v>1900</v>
      </c>
      <c r="V231" s="42">
        <f>IFERROR(MONTH(emp_db[[#This Row],[Exit Date]]),"")</f>
        <v>1</v>
      </c>
    </row>
    <row r="232" spans="2:22">
      <c r="B232" s="39"/>
      <c r="C232" s="39"/>
      <c r="D232" s="39"/>
      <c r="E232" s="39"/>
      <c r="F232" s="40"/>
      <c r="G232" s="38"/>
      <c r="H232" s="43"/>
      <c r="I232" s="43"/>
      <c r="J232" s="39"/>
      <c r="K232" s="38"/>
      <c r="L232" s="39"/>
      <c r="M232" s="39"/>
      <c r="N232" s="43"/>
      <c r="O232" s="38"/>
      <c r="P232" s="38"/>
      <c r="Q232" s="41" t="str">
        <f ca="1">IF(emp_db[[#This Row],[Exit Date]]&lt;&gt;"",(emp_db[[#This Row],[Exit Date]]-emp_db[[#This Row],[Column1]])/365,IF(emp_db[[#This Row],[ID]]&lt;&gt;"",(TODAY()-emp_db[[#This Row],[Column1]])/365,""))</f>
        <v/>
      </c>
      <c r="R232" s="42" t="str">
        <f ca="1">IF(emp_db[[#This Row],[Date of Birth]]&lt;&gt;"",(TODAY()-emp_db[[#This Row],[Date of Birth]])/365,"")</f>
        <v/>
      </c>
      <c r="S232" s="42">
        <f>YEAR(emp_db[[#This Row],[Column1]])</f>
        <v>1900</v>
      </c>
      <c r="T232" s="42">
        <f>MONTH(emp_db[[#This Row],[Column1]])</f>
        <v>1</v>
      </c>
      <c r="U232" s="42">
        <f>IFERROR(YEAR(emp_db[[#This Row],[Exit Date]]),"")</f>
        <v>1900</v>
      </c>
      <c r="V232" s="42">
        <f>IFERROR(MONTH(emp_db[[#This Row],[Exit Date]]),"")</f>
        <v>1</v>
      </c>
    </row>
    <row r="233" spans="2:22">
      <c r="B233" s="39"/>
      <c r="C233" s="39"/>
      <c r="D233" s="39"/>
      <c r="E233" s="39"/>
      <c r="F233" s="40"/>
      <c r="G233" s="38"/>
      <c r="H233" s="43"/>
      <c r="I233" s="43"/>
      <c r="J233" s="39"/>
      <c r="K233" s="38"/>
      <c r="L233" s="39"/>
      <c r="M233" s="39"/>
      <c r="N233" s="43"/>
      <c r="O233" s="38"/>
      <c r="P233" s="38"/>
      <c r="Q233" s="41" t="str">
        <f ca="1">IF(emp_db[[#This Row],[Exit Date]]&lt;&gt;"",(emp_db[[#This Row],[Exit Date]]-emp_db[[#This Row],[Column1]])/365,IF(emp_db[[#This Row],[ID]]&lt;&gt;"",(TODAY()-emp_db[[#This Row],[Column1]])/365,""))</f>
        <v/>
      </c>
      <c r="R233" s="42" t="str">
        <f ca="1">IF(emp_db[[#This Row],[Date of Birth]]&lt;&gt;"",(TODAY()-emp_db[[#This Row],[Date of Birth]])/365,"")</f>
        <v/>
      </c>
      <c r="S233" s="42">
        <f>YEAR(emp_db[[#This Row],[Column1]])</f>
        <v>1900</v>
      </c>
      <c r="T233" s="42">
        <f>MONTH(emp_db[[#This Row],[Column1]])</f>
        <v>1</v>
      </c>
      <c r="U233" s="42">
        <f>IFERROR(YEAR(emp_db[[#This Row],[Exit Date]]),"")</f>
        <v>1900</v>
      </c>
      <c r="V233" s="42">
        <f>IFERROR(MONTH(emp_db[[#This Row],[Exit Date]]),"")</f>
        <v>1</v>
      </c>
    </row>
    <row r="234" spans="2:22">
      <c r="B234" s="39"/>
      <c r="C234" s="39"/>
      <c r="D234" s="39"/>
      <c r="E234" s="39"/>
      <c r="F234" s="40"/>
      <c r="G234" s="38"/>
      <c r="H234" s="43"/>
      <c r="I234" s="43"/>
      <c r="J234" s="39"/>
      <c r="K234" s="38"/>
      <c r="L234" s="39"/>
      <c r="M234" s="39"/>
      <c r="N234" s="43"/>
      <c r="O234" s="38"/>
      <c r="P234" s="38"/>
      <c r="Q234" s="41" t="str">
        <f ca="1">IF(emp_db[[#This Row],[Exit Date]]&lt;&gt;"",(emp_db[[#This Row],[Exit Date]]-emp_db[[#This Row],[Column1]])/365,IF(emp_db[[#This Row],[ID]]&lt;&gt;"",(TODAY()-emp_db[[#This Row],[Column1]])/365,""))</f>
        <v/>
      </c>
      <c r="R234" s="42" t="str">
        <f ca="1">IF(emp_db[[#This Row],[Date of Birth]]&lt;&gt;"",(TODAY()-emp_db[[#This Row],[Date of Birth]])/365,"")</f>
        <v/>
      </c>
      <c r="S234" s="42">
        <f>YEAR(emp_db[[#This Row],[Column1]])</f>
        <v>1900</v>
      </c>
      <c r="T234" s="42">
        <f>MONTH(emp_db[[#This Row],[Column1]])</f>
        <v>1</v>
      </c>
      <c r="U234" s="42">
        <f>IFERROR(YEAR(emp_db[[#This Row],[Exit Date]]),"")</f>
        <v>1900</v>
      </c>
      <c r="V234" s="42">
        <f>IFERROR(MONTH(emp_db[[#This Row],[Exit Date]]),"")</f>
        <v>1</v>
      </c>
    </row>
    <row r="235" spans="2:22">
      <c r="B235" s="39"/>
      <c r="C235" s="39"/>
      <c r="D235" s="39"/>
      <c r="E235" s="39"/>
      <c r="F235" s="40"/>
      <c r="G235" s="38"/>
      <c r="H235" s="43"/>
      <c r="I235" s="43"/>
      <c r="J235" s="39"/>
      <c r="K235" s="38"/>
      <c r="L235" s="39"/>
      <c r="M235" s="39"/>
      <c r="N235" s="43"/>
      <c r="O235" s="38"/>
      <c r="P235" s="38"/>
      <c r="Q235" s="41" t="str">
        <f ca="1">IF(emp_db[[#This Row],[Exit Date]]&lt;&gt;"",(emp_db[[#This Row],[Exit Date]]-emp_db[[#This Row],[Column1]])/365,IF(emp_db[[#This Row],[ID]]&lt;&gt;"",(TODAY()-emp_db[[#This Row],[Column1]])/365,""))</f>
        <v/>
      </c>
      <c r="R235" s="42" t="str">
        <f ca="1">IF(emp_db[[#This Row],[Date of Birth]]&lt;&gt;"",(TODAY()-emp_db[[#This Row],[Date of Birth]])/365,"")</f>
        <v/>
      </c>
      <c r="S235" s="42">
        <f>YEAR(emp_db[[#This Row],[Column1]])</f>
        <v>1900</v>
      </c>
      <c r="T235" s="42">
        <f>MONTH(emp_db[[#This Row],[Column1]])</f>
        <v>1</v>
      </c>
      <c r="U235" s="42">
        <f>IFERROR(YEAR(emp_db[[#This Row],[Exit Date]]),"")</f>
        <v>1900</v>
      </c>
      <c r="V235" s="42">
        <f>IFERROR(MONTH(emp_db[[#This Row],[Exit Date]]),"")</f>
        <v>1</v>
      </c>
    </row>
    <row r="236" spans="2:22">
      <c r="B236" s="39"/>
      <c r="C236" s="39"/>
      <c r="D236" s="39"/>
      <c r="E236" s="39"/>
      <c r="F236" s="40"/>
      <c r="G236" s="38"/>
      <c r="H236" s="43"/>
      <c r="I236" s="43"/>
      <c r="J236" s="39"/>
      <c r="K236" s="38"/>
      <c r="L236" s="39"/>
      <c r="M236" s="39"/>
      <c r="N236" s="43"/>
      <c r="O236" s="38"/>
      <c r="P236" s="38"/>
      <c r="Q236" s="41" t="str">
        <f ca="1">IF(emp_db[[#This Row],[Exit Date]]&lt;&gt;"",(emp_db[[#This Row],[Exit Date]]-emp_db[[#This Row],[Column1]])/365,IF(emp_db[[#This Row],[ID]]&lt;&gt;"",(TODAY()-emp_db[[#This Row],[Column1]])/365,""))</f>
        <v/>
      </c>
      <c r="R236" s="42" t="str">
        <f ca="1">IF(emp_db[[#This Row],[Date of Birth]]&lt;&gt;"",(TODAY()-emp_db[[#This Row],[Date of Birth]])/365,"")</f>
        <v/>
      </c>
      <c r="S236" s="42">
        <f>YEAR(emp_db[[#This Row],[Column1]])</f>
        <v>1900</v>
      </c>
      <c r="T236" s="42">
        <f>MONTH(emp_db[[#This Row],[Column1]])</f>
        <v>1</v>
      </c>
      <c r="U236" s="42">
        <f>IFERROR(YEAR(emp_db[[#This Row],[Exit Date]]),"")</f>
        <v>1900</v>
      </c>
      <c r="V236" s="42">
        <f>IFERROR(MONTH(emp_db[[#This Row],[Exit Date]]),"")</f>
        <v>1</v>
      </c>
    </row>
    <row r="237" spans="2:22">
      <c r="B237" s="39"/>
      <c r="C237" s="39"/>
      <c r="D237" s="39"/>
      <c r="E237" s="39"/>
      <c r="F237" s="40"/>
      <c r="G237" s="38"/>
      <c r="H237" s="43"/>
      <c r="I237" s="43"/>
      <c r="J237" s="39"/>
      <c r="K237" s="38"/>
      <c r="L237" s="39"/>
      <c r="M237" s="39"/>
      <c r="N237" s="43"/>
      <c r="O237" s="38"/>
      <c r="P237" s="38"/>
      <c r="Q237" s="41" t="str">
        <f ca="1">IF(emp_db[[#This Row],[Exit Date]]&lt;&gt;"",(emp_db[[#This Row],[Exit Date]]-emp_db[[#This Row],[Column1]])/365,IF(emp_db[[#This Row],[ID]]&lt;&gt;"",(TODAY()-emp_db[[#This Row],[Column1]])/365,""))</f>
        <v/>
      </c>
      <c r="R237" s="42" t="str">
        <f ca="1">IF(emp_db[[#This Row],[Date of Birth]]&lt;&gt;"",(TODAY()-emp_db[[#This Row],[Date of Birth]])/365,"")</f>
        <v/>
      </c>
      <c r="S237" s="42">
        <f>YEAR(emp_db[[#This Row],[Column1]])</f>
        <v>1900</v>
      </c>
      <c r="T237" s="42">
        <f>MONTH(emp_db[[#This Row],[Column1]])</f>
        <v>1</v>
      </c>
      <c r="U237" s="42">
        <f>IFERROR(YEAR(emp_db[[#This Row],[Exit Date]]),"")</f>
        <v>1900</v>
      </c>
      <c r="V237" s="42">
        <f>IFERROR(MONTH(emp_db[[#This Row],[Exit Date]]),"")</f>
        <v>1</v>
      </c>
    </row>
    <row r="238" spans="2:22">
      <c r="B238" s="39"/>
      <c r="C238" s="39"/>
      <c r="D238" s="39"/>
      <c r="E238" s="39"/>
      <c r="F238" s="40"/>
      <c r="G238" s="38"/>
      <c r="H238" s="43"/>
      <c r="I238" s="43"/>
      <c r="J238" s="39"/>
      <c r="K238" s="38"/>
      <c r="L238" s="39"/>
      <c r="M238" s="39"/>
      <c r="N238" s="43"/>
      <c r="O238" s="38"/>
      <c r="P238" s="38"/>
      <c r="Q238" s="41" t="str">
        <f ca="1">IF(emp_db[[#This Row],[Exit Date]]&lt;&gt;"",(emp_db[[#This Row],[Exit Date]]-emp_db[[#This Row],[Column1]])/365,IF(emp_db[[#This Row],[ID]]&lt;&gt;"",(TODAY()-emp_db[[#This Row],[Column1]])/365,""))</f>
        <v/>
      </c>
      <c r="R238" s="42" t="str">
        <f ca="1">IF(emp_db[[#This Row],[Date of Birth]]&lt;&gt;"",(TODAY()-emp_db[[#This Row],[Date of Birth]])/365,"")</f>
        <v/>
      </c>
      <c r="S238" s="42">
        <f>YEAR(emp_db[[#This Row],[Column1]])</f>
        <v>1900</v>
      </c>
      <c r="T238" s="42">
        <f>MONTH(emp_db[[#This Row],[Column1]])</f>
        <v>1</v>
      </c>
      <c r="U238" s="42">
        <f>IFERROR(YEAR(emp_db[[#This Row],[Exit Date]]),"")</f>
        <v>1900</v>
      </c>
      <c r="V238" s="42">
        <f>IFERROR(MONTH(emp_db[[#This Row],[Exit Date]]),"")</f>
        <v>1</v>
      </c>
    </row>
    <row r="239" spans="2:22">
      <c r="B239" s="39"/>
      <c r="C239" s="39"/>
      <c r="D239" s="39"/>
      <c r="E239" s="39"/>
      <c r="F239" s="40"/>
      <c r="G239" s="38"/>
      <c r="H239" s="43"/>
      <c r="I239" s="43"/>
      <c r="J239" s="39"/>
      <c r="K239" s="38"/>
      <c r="L239" s="39"/>
      <c r="M239" s="39"/>
      <c r="N239" s="43"/>
      <c r="O239" s="38"/>
      <c r="P239" s="38"/>
      <c r="Q239" s="41" t="str">
        <f ca="1">IF(emp_db[[#This Row],[Exit Date]]&lt;&gt;"",(emp_db[[#This Row],[Exit Date]]-emp_db[[#This Row],[Column1]])/365,IF(emp_db[[#This Row],[ID]]&lt;&gt;"",(TODAY()-emp_db[[#This Row],[Column1]])/365,""))</f>
        <v/>
      </c>
      <c r="R239" s="42" t="str">
        <f ca="1">IF(emp_db[[#This Row],[Date of Birth]]&lt;&gt;"",(TODAY()-emp_db[[#This Row],[Date of Birth]])/365,"")</f>
        <v/>
      </c>
      <c r="S239" s="42">
        <f>YEAR(emp_db[[#This Row],[Column1]])</f>
        <v>1900</v>
      </c>
      <c r="T239" s="42">
        <f>MONTH(emp_db[[#This Row],[Column1]])</f>
        <v>1</v>
      </c>
      <c r="U239" s="42">
        <f>IFERROR(YEAR(emp_db[[#This Row],[Exit Date]]),"")</f>
        <v>1900</v>
      </c>
      <c r="V239" s="42">
        <f>IFERROR(MONTH(emp_db[[#This Row],[Exit Date]]),"")</f>
        <v>1</v>
      </c>
    </row>
    <row r="240" spans="2:22">
      <c r="B240" s="39"/>
      <c r="C240" s="39"/>
      <c r="D240" s="39"/>
      <c r="E240" s="39"/>
      <c r="F240" s="40"/>
      <c r="G240" s="38"/>
      <c r="H240" s="43"/>
      <c r="I240" s="43"/>
      <c r="J240" s="39"/>
      <c r="K240" s="38"/>
      <c r="L240" s="39"/>
      <c r="M240" s="39"/>
      <c r="N240" s="43"/>
      <c r="O240" s="38"/>
      <c r="P240" s="38"/>
      <c r="Q240" s="41" t="str">
        <f ca="1">IF(emp_db[[#This Row],[Exit Date]]&lt;&gt;"",(emp_db[[#This Row],[Exit Date]]-emp_db[[#This Row],[Column1]])/365,IF(emp_db[[#This Row],[ID]]&lt;&gt;"",(TODAY()-emp_db[[#This Row],[Column1]])/365,""))</f>
        <v/>
      </c>
      <c r="R240" s="42" t="str">
        <f ca="1">IF(emp_db[[#This Row],[Date of Birth]]&lt;&gt;"",(TODAY()-emp_db[[#This Row],[Date of Birth]])/365,"")</f>
        <v/>
      </c>
      <c r="S240" s="42">
        <f>YEAR(emp_db[[#This Row],[Column1]])</f>
        <v>1900</v>
      </c>
      <c r="T240" s="42">
        <f>MONTH(emp_db[[#This Row],[Column1]])</f>
        <v>1</v>
      </c>
      <c r="U240" s="42">
        <f>IFERROR(YEAR(emp_db[[#This Row],[Exit Date]]),"")</f>
        <v>1900</v>
      </c>
      <c r="V240" s="42">
        <f>IFERROR(MONTH(emp_db[[#This Row],[Exit Date]]),"")</f>
        <v>1</v>
      </c>
    </row>
    <row r="241" spans="2:22">
      <c r="B241" s="39"/>
      <c r="C241" s="39"/>
      <c r="D241" s="39"/>
      <c r="E241" s="39"/>
      <c r="F241" s="40"/>
      <c r="G241" s="38"/>
      <c r="H241" s="43"/>
      <c r="I241" s="43"/>
      <c r="J241" s="39"/>
      <c r="K241" s="38"/>
      <c r="L241" s="39"/>
      <c r="M241" s="39"/>
      <c r="N241" s="43"/>
      <c r="O241" s="38"/>
      <c r="P241" s="38"/>
      <c r="Q241" s="41" t="str">
        <f ca="1">IF(emp_db[[#This Row],[Exit Date]]&lt;&gt;"",(emp_db[[#This Row],[Exit Date]]-emp_db[[#This Row],[Column1]])/365,IF(emp_db[[#This Row],[ID]]&lt;&gt;"",(TODAY()-emp_db[[#This Row],[Column1]])/365,""))</f>
        <v/>
      </c>
      <c r="R241" s="42" t="str">
        <f ca="1">IF(emp_db[[#This Row],[Date of Birth]]&lt;&gt;"",(TODAY()-emp_db[[#This Row],[Date of Birth]])/365,"")</f>
        <v/>
      </c>
      <c r="S241" s="42">
        <f>YEAR(emp_db[[#This Row],[Column1]])</f>
        <v>1900</v>
      </c>
      <c r="T241" s="42">
        <f>MONTH(emp_db[[#This Row],[Column1]])</f>
        <v>1</v>
      </c>
      <c r="U241" s="42">
        <f>IFERROR(YEAR(emp_db[[#This Row],[Exit Date]]),"")</f>
        <v>1900</v>
      </c>
      <c r="V241" s="42">
        <f>IFERROR(MONTH(emp_db[[#This Row],[Exit Date]]),"")</f>
        <v>1</v>
      </c>
    </row>
    <row r="242" spans="2:22">
      <c r="B242" s="39"/>
      <c r="C242" s="39"/>
      <c r="D242" s="39"/>
      <c r="E242" s="39"/>
      <c r="F242" s="40"/>
      <c r="G242" s="38"/>
      <c r="H242" s="43"/>
      <c r="I242" s="43"/>
      <c r="J242" s="39"/>
      <c r="K242" s="38"/>
      <c r="L242" s="39"/>
      <c r="M242" s="39"/>
      <c r="N242" s="43"/>
      <c r="O242" s="38"/>
      <c r="P242" s="38"/>
      <c r="Q242" s="41" t="str">
        <f ca="1">IF(emp_db[[#This Row],[Exit Date]]&lt;&gt;"",(emp_db[[#This Row],[Exit Date]]-emp_db[[#This Row],[Column1]])/365,IF(emp_db[[#This Row],[ID]]&lt;&gt;"",(TODAY()-emp_db[[#This Row],[Column1]])/365,""))</f>
        <v/>
      </c>
      <c r="R242" s="42" t="str">
        <f ca="1">IF(emp_db[[#This Row],[Date of Birth]]&lt;&gt;"",(TODAY()-emp_db[[#This Row],[Date of Birth]])/365,"")</f>
        <v/>
      </c>
      <c r="S242" s="42">
        <f>YEAR(emp_db[[#This Row],[Column1]])</f>
        <v>1900</v>
      </c>
      <c r="T242" s="42">
        <f>MONTH(emp_db[[#This Row],[Column1]])</f>
        <v>1</v>
      </c>
      <c r="U242" s="42">
        <f>IFERROR(YEAR(emp_db[[#This Row],[Exit Date]]),"")</f>
        <v>1900</v>
      </c>
      <c r="V242" s="42">
        <f>IFERROR(MONTH(emp_db[[#This Row],[Exit Date]]),"")</f>
        <v>1</v>
      </c>
    </row>
    <row r="243" spans="2:22">
      <c r="B243" s="39"/>
      <c r="C243" s="39"/>
      <c r="D243" s="39"/>
      <c r="E243" s="39"/>
      <c r="F243" s="40"/>
      <c r="G243" s="38"/>
      <c r="H243" s="43"/>
      <c r="I243" s="43"/>
      <c r="J243" s="39"/>
      <c r="K243" s="38"/>
      <c r="L243" s="39"/>
      <c r="M243" s="39"/>
      <c r="N243" s="43"/>
      <c r="O243" s="38"/>
      <c r="P243" s="38"/>
      <c r="Q243" s="41" t="str">
        <f ca="1">IF(emp_db[[#This Row],[Exit Date]]&lt;&gt;"",(emp_db[[#This Row],[Exit Date]]-emp_db[[#This Row],[Column1]])/365,IF(emp_db[[#This Row],[ID]]&lt;&gt;"",(TODAY()-emp_db[[#This Row],[Column1]])/365,""))</f>
        <v/>
      </c>
      <c r="R243" s="42" t="str">
        <f ca="1">IF(emp_db[[#This Row],[Date of Birth]]&lt;&gt;"",(TODAY()-emp_db[[#This Row],[Date of Birth]])/365,"")</f>
        <v/>
      </c>
      <c r="S243" s="42">
        <f>YEAR(emp_db[[#This Row],[Column1]])</f>
        <v>1900</v>
      </c>
      <c r="T243" s="42">
        <f>MONTH(emp_db[[#This Row],[Column1]])</f>
        <v>1</v>
      </c>
      <c r="U243" s="42">
        <f>IFERROR(YEAR(emp_db[[#This Row],[Exit Date]]),"")</f>
        <v>1900</v>
      </c>
      <c r="V243" s="42">
        <f>IFERROR(MONTH(emp_db[[#This Row],[Exit Date]]),"")</f>
        <v>1</v>
      </c>
    </row>
    <row r="244" spans="2:22">
      <c r="B244" s="39"/>
      <c r="C244" s="39"/>
      <c r="D244" s="39"/>
      <c r="E244" s="39"/>
      <c r="F244" s="40"/>
      <c r="G244" s="38"/>
      <c r="H244" s="43"/>
      <c r="I244" s="43"/>
      <c r="J244" s="39"/>
      <c r="K244" s="38"/>
      <c r="L244" s="39"/>
      <c r="M244" s="39"/>
      <c r="N244" s="43"/>
      <c r="O244" s="38"/>
      <c r="P244" s="38"/>
      <c r="Q244" s="41" t="str">
        <f ca="1">IF(emp_db[[#This Row],[Exit Date]]&lt;&gt;"",(emp_db[[#This Row],[Exit Date]]-emp_db[[#This Row],[Column1]])/365,IF(emp_db[[#This Row],[ID]]&lt;&gt;"",(TODAY()-emp_db[[#This Row],[Column1]])/365,""))</f>
        <v/>
      </c>
      <c r="R244" s="42" t="str">
        <f ca="1">IF(emp_db[[#This Row],[Date of Birth]]&lt;&gt;"",(TODAY()-emp_db[[#This Row],[Date of Birth]])/365,"")</f>
        <v/>
      </c>
      <c r="S244" s="42">
        <f>YEAR(emp_db[[#This Row],[Column1]])</f>
        <v>1900</v>
      </c>
      <c r="T244" s="42">
        <f>MONTH(emp_db[[#This Row],[Column1]])</f>
        <v>1</v>
      </c>
      <c r="U244" s="42">
        <f>IFERROR(YEAR(emp_db[[#This Row],[Exit Date]]),"")</f>
        <v>1900</v>
      </c>
      <c r="V244" s="42">
        <f>IFERROR(MONTH(emp_db[[#This Row],[Exit Date]]),"")</f>
        <v>1</v>
      </c>
    </row>
    <row r="245" spans="2:22">
      <c r="B245" s="39"/>
      <c r="C245" s="39"/>
      <c r="D245" s="39"/>
      <c r="E245" s="39"/>
      <c r="F245" s="40"/>
      <c r="G245" s="38"/>
      <c r="H245" s="43"/>
      <c r="I245" s="43"/>
      <c r="J245" s="39"/>
      <c r="K245" s="38"/>
      <c r="L245" s="39"/>
      <c r="M245" s="39"/>
      <c r="N245" s="43"/>
      <c r="O245" s="38"/>
      <c r="P245" s="38"/>
      <c r="Q245" s="41" t="str">
        <f ca="1">IF(emp_db[[#This Row],[Exit Date]]&lt;&gt;"",(emp_db[[#This Row],[Exit Date]]-emp_db[[#This Row],[Column1]])/365,IF(emp_db[[#This Row],[ID]]&lt;&gt;"",(TODAY()-emp_db[[#This Row],[Column1]])/365,""))</f>
        <v/>
      </c>
      <c r="R245" s="42" t="str">
        <f ca="1">IF(emp_db[[#This Row],[Date of Birth]]&lt;&gt;"",(TODAY()-emp_db[[#This Row],[Date of Birth]])/365,"")</f>
        <v/>
      </c>
      <c r="S245" s="42">
        <f>YEAR(emp_db[[#This Row],[Column1]])</f>
        <v>1900</v>
      </c>
      <c r="T245" s="42">
        <f>MONTH(emp_db[[#This Row],[Column1]])</f>
        <v>1</v>
      </c>
      <c r="U245" s="42">
        <f>IFERROR(YEAR(emp_db[[#This Row],[Exit Date]]),"")</f>
        <v>1900</v>
      </c>
      <c r="V245" s="42">
        <f>IFERROR(MONTH(emp_db[[#This Row],[Exit Date]]),"")</f>
        <v>1</v>
      </c>
    </row>
    <row r="246" spans="2:22">
      <c r="B246" s="39"/>
      <c r="C246" s="39"/>
      <c r="D246" s="39"/>
      <c r="E246" s="39"/>
      <c r="F246" s="40"/>
      <c r="G246" s="38"/>
      <c r="H246" s="43"/>
      <c r="I246" s="43"/>
      <c r="J246" s="39"/>
      <c r="K246" s="38"/>
      <c r="L246" s="39"/>
      <c r="M246" s="39"/>
      <c r="N246" s="43"/>
      <c r="O246" s="38"/>
      <c r="P246" s="38"/>
      <c r="Q246" s="41" t="str">
        <f ca="1">IF(emp_db[[#This Row],[Exit Date]]&lt;&gt;"",(emp_db[[#This Row],[Exit Date]]-emp_db[[#This Row],[Column1]])/365,IF(emp_db[[#This Row],[ID]]&lt;&gt;"",(TODAY()-emp_db[[#This Row],[Column1]])/365,""))</f>
        <v/>
      </c>
      <c r="R246" s="42" t="str">
        <f ca="1">IF(emp_db[[#This Row],[Date of Birth]]&lt;&gt;"",(TODAY()-emp_db[[#This Row],[Date of Birth]])/365,"")</f>
        <v/>
      </c>
      <c r="S246" s="42">
        <f>YEAR(emp_db[[#This Row],[Column1]])</f>
        <v>1900</v>
      </c>
      <c r="T246" s="42">
        <f>MONTH(emp_db[[#This Row],[Column1]])</f>
        <v>1</v>
      </c>
      <c r="U246" s="42">
        <f>IFERROR(YEAR(emp_db[[#This Row],[Exit Date]]),"")</f>
        <v>1900</v>
      </c>
      <c r="V246" s="42">
        <f>IFERROR(MONTH(emp_db[[#This Row],[Exit Date]]),"")</f>
        <v>1</v>
      </c>
    </row>
    <row r="247" spans="2:22">
      <c r="B247" s="39"/>
      <c r="C247" s="39"/>
      <c r="D247" s="39"/>
      <c r="E247" s="39"/>
      <c r="F247" s="40"/>
      <c r="G247" s="38"/>
      <c r="H247" s="43"/>
      <c r="I247" s="43"/>
      <c r="J247" s="39"/>
      <c r="K247" s="38"/>
      <c r="L247" s="39"/>
      <c r="M247" s="39"/>
      <c r="N247" s="43"/>
      <c r="O247" s="38"/>
      <c r="P247" s="38"/>
      <c r="Q247" s="41" t="str">
        <f ca="1">IF(emp_db[[#This Row],[Exit Date]]&lt;&gt;"",(emp_db[[#This Row],[Exit Date]]-emp_db[[#This Row],[Column1]])/365,IF(emp_db[[#This Row],[ID]]&lt;&gt;"",(TODAY()-emp_db[[#This Row],[Column1]])/365,""))</f>
        <v/>
      </c>
      <c r="R247" s="42" t="str">
        <f ca="1">IF(emp_db[[#This Row],[Date of Birth]]&lt;&gt;"",(TODAY()-emp_db[[#This Row],[Date of Birth]])/365,"")</f>
        <v/>
      </c>
      <c r="S247" s="42">
        <f>YEAR(emp_db[[#This Row],[Column1]])</f>
        <v>1900</v>
      </c>
      <c r="T247" s="42">
        <f>MONTH(emp_db[[#This Row],[Column1]])</f>
        <v>1</v>
      </c>
      <c r="U247" s="42">
        <f>IFERROR(YEAR(emp_db[[#This Row],[Exit Date]]),"")</f>
        <v>1900</v>
      </c>
      <c r="V247" s="42">
        <f>IFERROR(MONTH(emp_db[[#This Row],[Exit Date]]),"")</f>
        <v>1</v>
      </c>
    </row>
    <row r="248" spans="2:22">
      <c r="B248" s="39"/>
      <c r="C248" s="39"/>
      <c r="D248" s="39"/>
      <c r="E248" s="39"/>
      <c r="F248" s="40"/>
      <c r="G248" s="38"/>
      <c r="H248" s="43"/>
      <c r="I248" s="43"/>
      <c r="J248" s="39"/>
      <c r="K248" s="38"/>
      <c r="L248" s="39"/>
      <c r="M248" s="39"/>
      <c r="N248" s="43"/>
      <c r="O248" s="38"/>
      <c r="P248" s="38"/>
      <c r="Q248" s="41" t="str">
        <f ca="1">IF(emp_db[[#This Row],[Exit Date]]&lt;&gt;"",(emp_db[[#This Row],[Exit Date]]-emp_db[[#This Row],[Column1]])/365,IF(emp_db[[#This Row],[ID]]&lt;&gt;"",(TODAY()-emp_db[[#This Row],[Column1]])/365,""))</f>
        <v/>
      </c>
      <c r="R248" s="42" t="str">
        <f ca="1">IF(emp_db[[#This Row],[Date of Birth]]&lt;&gt;"",(TODAY()-emp_db[[#This Row],[Date of Birth]])/365,"")</f>
        <v/>
      </c>
      <c r="S248" s="42">
        <f>YEAR(emp_db[[#This Row],[Column1]])</f>
        <v>1900</v>
      </c>
      <c r="T248" s="42">
        <f>MONTH(emp_db[[#This Row],[Column1]])</f>
        <v>1</v>
      </c>
      <c r="U248" s="42">
        <f>IFERROR(YEAR(emp_db[[#This Row],[Exit Date]]),"")</f>
        <v>1900</v>
      </c>
      <c r="V248" s="42">
        <f>IFERROR(MONTH(emp_db[[#This Row],[Exit Date]]),"")</f>
        <v>1</v>
      </c>
    </row>
    <row r="249" spans="2:22">
      <c r="B249" s="39"/>
      <c r="C249" s="39"/>
      <c r="D249" s="39"/>
      <c r="E249" s="39"/>
      <c r="F249" s="40"/>
      <c r="G249" s="38"/>
      <c r="H249" s="43"/>
      <c r="I249" s="43"/>
      <c r="J249" s="39"/>
      <c r="K249" s="38"/>
      <c r="L249" s="39"/>
      <c r="M249" s="39"/>
      <c r="N249" s="43"/>
      <c r="O249" s="38"/>
      <c r="P249" s="38"/>
      <c r="Q249" s="41" t="str">
        <f ca="1">IF(emp_db[[#This Row],[Exit Date]]&lt;&gt;"",(emp_db[[#This Row],[Exit Date]]-emp_db[[#This Row],[Column1]])/365,IF(emp_db[[#This Row],[ID]]&lt;&gt;"",(TODAY()-emp_db[[#This Row],[Column1]])/365,""))</f>
        <v/>
      </c>
      <c r="R249" s="42" t="str">
        <f ca="1">IF(emp_db[[#This Row],[Date of Birth]]&lt;&gt;"",(TODAY()-emp_db[[#This Row],[Date of Birth]])/365,"")</f>
        <v/>
      </c>
      <c r="S249" s="42">
        <f>YEAR(emp_db[[#This Row],[Column1]])</f>
        <v>1900</v>
      </c>
      <c r="T249" s="42">
        <f>MONTH(emp_db[[#This Row],[Column1]])</f>
        <v>1</v>
      </c>
      <c r="U249" s="42">
        <f>IFERROR(YEAR(emp_db[[#This Row],[Exit Date]]),"")</f>
        <v>1900</v>
      </c>
      <c r="V249" s="42">
        <f>IFERROR(MONTH(emp_db[[#This Row],[Exit Date]]),"")</f>
        <v>1</v>
      </c>
    </row>
    <row r="250" spans="2:22">
      <c r="B250" s="39"/>
      <c r="C250" s="39"/>
      <c r="D250" s="39"/>
      <c r="E250" s="39"/>
      <c r="F250" s="40"/>
      <c r="G250" s="38"/>
      <c r="H250" s="43"/>
      <c r="I250" s="43"/>
      <c r="J250" s="39"/>
      <c r="K250" s="38"/>
      <c r="L250" s="39"/>
      <c r="M250" s="39"/>
      <c r="N250" s="43"/>
      <c r="O250" s="38"/>
      <c r="P250" s="38"/>
      <c r="Q250" s="41" t="str">
        <f ca="1">IF(emp_db[[#This Row],[Exit Date]]&lt;&gt;"",(emp_db[[#This Row],[Exit Date]]-emp_db[[#This Row],[Column1]])/365,IF(emp_db[[#This Row],[ID]]&lt;&gt;"",(TODAY()-emp_db[[#This Row],[Column1]])/365,""))</f>
        <v/>
      </c>
      <c r="R250" s="42" t="str">
        <f ca="1">IF(emp_db[[#This Row],[Date of Birth]]&lt;&gt;"",(TODAY()-emp_db[[#This Row],[Date of Birth]])/365,"")</f>
        <v/>
      </c>
      <c r="S250" s="42">
        <f>YEAR(emp_db[[#This Row],[Column1]])</f>
        <v>1900</v>
      </c>
      <c r="T250" s="42">
        <f>MONTH(emp_db[[#This Row],[Column1]])</f>
        <v>1</v>
      </c>
      <c r="U250" s="42">
        <f>IFERROR(YEAR(emp_db[[#This Row],[Exit Date]]),"")</f>
        <v>1900</v>
      </c>
      <c r="V250" s="42">
        <f>IFERROR(MONTH(emp_db[[#This Row],[Exit Date]]),"")</f>
        <v>1</v>
      </c>
    </row>
    <row r="251" spans="2:22">
      <c r="B251" s="39"/>
      <c r="C251" s="39"/>
      <c r="D251" s="39"/>
      <c r="E251" s="39"/>
      <c r="F251" s="40"/>
      <c r="G251" s="38"/>
      <c r="H251" s="43"/>
      <c r="I251" s="43"/>
      <c r="J251" s="39"/>
      <c r="K251" s="38"/>
      <c r="L251" s="39"/>
      <c r="M251" s="39"/>
      <c r="N251" s="43"/>
      <c r="O251" s="38"/>
      <c r="P251" s="38"/>
      <c r="Q251" s="41" t="str">
        <f ca="1">IF(emp_db[[#This Row],[Exit Date]]&lt;&gt;"",(emp_db[[#This Row],[Exit Date]]-emp_db[[#This Row],[Column1]])/365,IF(emp_db[[#This Row],[ID]]&lt;&gt;"",(TODAY()-emp_db[[#This Row],[Column1]])/365,""))</f>
        <v/>
      </c>
      <c r="R251" s="42" t="str">
        <f ca="1">IF(emp_db[[#This Row],[Date of Birth]]&lt;&gt;"",(TODAY()-emp_db[[#This Row],[Date of Birth]])/365,"")</f>
        <v/>
      </c>
      <c r="S251" s="42">
        <f>YEAR(emp_db[[#This Row],[Column1]])</f>
        <v>1900</v>
      </c>
      <c r="T251" s="42">
        <f>MONTH(emp_db[[#This Row],[Column1]])</f>
        <v>1</v>
      </c>
      <c r="U251" s="42">
        <f>IFERROR(YEAR(emp_db[[#This Row],[Exit Date]]),"")</f>
        <v>1900</v>
      </c>
      <c r="V251" s="42">
        <f>IFERROR(MONTH(emp_db[[#This Row],[Exit Date]]),"")</f>
        <v>1</v>
      </c>
    </row>
    <row r="252" spans="2:22">
      <c r="B252" s="39"/>
      <c r="C252" s="39"/>
      <c r="D252" s="39"/>
      <c r="E252" s="39"/>
      <c r="F252" s="40"/>
      <c r="G252" s="38"/>
      <c r="H252" s="43"/>
      <c r="I252" s="43"/>
      <c r="J252" s="39"/>
      <c r="K252" s="38"/>
      <c r="L252" s="39"/>
      <c r="M252" s="39"/>
      <c r="N252" s="43"/>
      <c r="O252" s="38"/>
      <c r="P252" s="38"/>
      <c r="Q252" s="41" t="str">
        <f ca="1">IF(emp_db[[#This Row],[Exit Date]]&lt;&gt;"",(emp_db[[#This Row],[Exit Date]]-emp_db[[#This Row],[Column1]])/365,IF(emp_db[[#This Row],[ID]]&lt;&gt;"",(TODAY()-emp_db[[#This Row],[Column1]])/365,""))</f>
        <v/>
      </c>
      <c r="R252" s="42" t="str">
        <f ca="1">IF(emp_db[[#This Row],[Date of Birth]]&lt;&gt;"",(TODAY()-emp_db[[#This Row],[Date of Birth]])/365,"")</f>
        <v/>
      </c>
      <c r="S252" s="42">
        <f>YEAR(emp_db[[#This Row],[Column1]])</f>
        <v>1900</v>
      </c>
      <c r="T252" s="42">
        <f>MONTH(emp_db[[#This Row],[Column1]])</f>
        <v>1</v>
      </c>
      <c r="U252" s="42">
        <f>IFERROR(YEAR(emp_db[[#This Row],[Exit Date]]),"")</f>
        <v>1900</v>
      </c>
      <c r="V252" s="42">
        <f>IFERROR(MONTH(emp_db[[#This Row],[Exit Date]]),"")</f>
        <v>1</v>
      </c>
    </row>
    <row r="253" spans="2:22">
      <c r="B253" s="39"/>
      <c r="C253" s="39"/>
      <c r="D253" s="39"/>
      <c r="E253" s="39"/>
      <c r="F253" s="40"/>
      <c r="G253" s="38"/>
      <c r="H253" s="43"/>
      <c r="I253" s="43"/>
      <c r="J253" s="39"/>
      <c r="K253" s="38"/>
      <c r="L253" s="39"/>
      <c r="M253" s="39"/>
      <c r="N253" s="43"/>
      <c r="O253" s="38"/>
      <c r="P253" s="38"/>
      <c r="Q253" s="41" t="str">
        <f ca="1">IF(emp_db[[#This Row],[Exit Date]]&lt;&gt;"",(emp_db[[#This Row],[Exit Date]]-emp_db[[#This Row],[Column1]])/365,IF(emp_db[[#This Row],[ID]]&lt;&gt;"",(TODAY()-emp_db[[#This Row],[Column1]])/365,""))</f>
        <v/>
      </c>
      <c r="R253" s="42" t="str">
        <f ca="1">IF(emp_db[[#This Row],[Date of Birth]]&lt;&gt;"",(TODAY()-emp_db[[#This Row],[Date of Birth]])/365,"")</f>
        <v/>
      </c>
      <c r="S253" s="42">
        <f>YEAR(emp_db[[#This Row],[Column1]])</f>
        <v>1900</v>
      </c>
      <c r="T253" s="42">
        <f>MONTH(emp_db[[#This Row],[Column1]])</f>
        <v>1</v>
      </c>
      <c r="U253" s="42">
        <f>IFERROR(YEAR(emp_db[[#This Row],[Exit Date]]),"")</f>
        <v>1900</v>
      </c>
      <c r="V253" s="42">
        <f>IFERROR(MONTH(emp_db[[#This Row],[Exit Date]]),"")</f>
        <v>1</v>
      </c>
    </row>
    <row r="254" spans="2:22">
      <c r="B254" s="39"/>
      <c r="C254" s="39"/>
      <c r="D254" s="39"/>
      <c r="E254" s="39"/>
      <c r="F254" s="40"/>
      <c r="G254" s="38"/>
      <c r="H254" s="43"/>
      <c r="I254" s="43"/>
      <c r="J254" s="39"/>
      <c r="K254" s="38"/>
      <c r="L254" s="39"/>
      <c r="M254" s="39"/>
      <c r="N254" s="43"/>
      <c r="O254" s="38"/>
      <c r="P254" s="38"/>
      <c r="Q254" s="41" t="str">
        <f ca="1">IF(emp_db[[#This Row],[Exit Date]]&lt;&gt;"",(emp_db[[#This Row],[Exit Date]]-emp_db[[#This Row],[Column1]])/365,IF(emp_db[[#This Row],[ID]]&lt;&gt;"",(TODAY()-emp_db[[#This Row],[Column1]])/365,""))</f>
        <v/>
      </c>
      <c r="R254" s="42" t="str">
        <f ca="1">IF(emp_db[[#This Row],[Date of Birth]]&lt;&gt;"",(TODAY()-emp_db[[#This Row],[Date of Birth]])/365,"")</f>
        <v/>
      </c>
      <c r="S254" s="42">
        <f>YEAR(emp_db[[#This Row],[Column1]])</f>
        <v>1900</v>
      </c>
      <c r="T254" s="42">
        <f>MONTH(emp_db[[#This Row],[Column1]])</f>
        <v>1</v>
      </c>
      <c r="U254" s="42">
        <f>IFERROR(YEAR(emp_db[[#This Row],[Exit Date]]),"")</f>
        <v>1900</v>
      </c>
      <c r="V254" s="42">
        <f>IFERROR(MONTH(emp_db[[#This Row],[Exit Date]]),"")</f>
        <v>1</v>
      </c>
    </row>
    <row r="255" spans="2:22">
      <c r="B255" s="39"/>
      <c r="C255" s="39"/>
      <c r="D255" s="39"/>
      <c r="E255" s="39"/>
      <c r="F255" s="40"/>
      <c r="G255" s="38"/>
      <c r="H255" s="43"/>
      <c r="I255" s="43"/>
      <c r="J255" s="39"/>
      <c r="K255" s="38"/>
      <c r="L255" s="39"/>
      <c r="M255" s="39"/>
      <c r="N255" s="43"/>
      <c r="O255" s="38"/>
      <c r="P255" s="38"/>
      <c r="Q255" s="41" t="str">
        <f ca="1">IF(emp_db[[#This Row],[Exit Date]]&lt;&gt;"",(emp_db[[#This Row],[Exit Date]]-emp_db[[#This Row],[Column1]])/365,IF(emp_db[[#This Row],[ID]]&lt;&gt;"",(TODAY()-emp_db[[#This Row],[Column1]])/365,""))</f>
        <v/>
      </c>
      <c r="R255" s="42" t="str">
        <f ca="1">IF(emp_db[[#This Row],[Date of Birth]]&lt;&gt;"",(TODAY()-emp_db[[#This Row],[Date of Birth]])/365,"")</f>
        <v/>
      </c>
      <c r="S255" s="42">
        <f>YEAR(emp_db[[#This Row],[Column1]])</f>
        <v>1900</v>
      </c>
      <c r="T255" s="42">
        <f>MONTH(emp_db[[#This Row],[Column1]])</f>
        <v>1</v>
      </c>
      <c r="U255" s="42">
        <f>IFERROR(YEAR(emp_db[[#This Row],[Exit Date]]),"")</f>
        <v>1900</v>
      </c>
      <c r="V255" s="42">
        <f>IFERROR(MONTH(emp_db[[#This Row],[Exit Date]]),"")</f>
        <v>1</v>
      </c>
    </row>
    <row r="256" spans="2:22">
      <c r="B256" s="39"/>
      <c r="C256" s="39"/>
      <c r="D256" s="39"/>
      <c r="E256" s="39"/>
      <c r="F256" s="40"/>
      <c r="G256" s="38"/>
      <c r="H256" s="43"/>
      <c r="I256" s="43"/>
      <c r="J256" s="39"/>
      <c r="K256" s="38"/>
      <c r="L256" s="39"/>
      <c r="M256" s="39"/>
      <c r="N256" s="43"/>
      <c r="O256" s="38"/>
      <c r="P256" s="38"/>
      <c r="Q256" s="41" t="str">
        <f ca="1">IF(emp_db[[#This Row],[Exit Date]]&lt;&gt;"",(emp_db[[#This Row],[Exit Date]]-emp_db[[#This Row],[Column1]])/365,IF(emp_db[[#This Row],[ID]]&lt;&gt;"",(TODAY()-emp_db[[#This Row],[Column1]])/365,""))</f>
        <v/>
      </c>
      <c r="R256" s="42" t="str">
        <f ca="1">IF(emp_db[[#This Row],[Date of Birth]]&lt;&gt;"",(TODAY()-emp_db[[#This Row],[Date of Birth]])/365,"")</f>
        <v/>
      </c>
      <c r="S256" s="42">
        <f>YEAR(emp_db[[#This Row],[Column1]])</f>
        <v>1900</v>
      </c>
      <c r="T256" s="42">
        <f>MONTH(emp_db[[#This Row],[Column1]])</f>
        <v>1</v>
      </c>
      <c r="U256" s="42">
        <f>IFERROR(YEAR(emp_db[[#This Row],[Exit Date]]),"")</f>
        <v>1900</v>
      </c>
      <c r="V256" s="42">
        <f>IFERROR(MONTH(emp_db[[#This Row],[Exit Date]]),"")</f>
        <v>1</v>
      </c>
    </row>
    <row r="257" spans="2:22">
      <c r="B257" s="39"/>
      <c r="C257" s="39"/>
      <c r="D257" s="39"/>
      <c r="E257" s="39"/>
      <c r="F257" s="40"/>
      <c r="G257" s="38"/>
      <c r="H257" s="43"/>
      <c r="I257" s="43"/>
      <c r="J257" s="39"/>
      <c r="K257" s="38"/>
      <c r="L257" s="39"/>
      <c r="M257" s="39"/>
      <c r="N257" s="43"/>
      <c r="O257" s="38"/>
      <c r="P257" s="38"/>
      <c r="Q257" s="41" t="str">
        <f ca="1">IF(emp_db[[#This Row],[Exit Date]]&lt;&gt;"",(emp_db[[#This Row],[Exit Date]]-emp_db[[#This Row],[Column1]])/365,IF(emp_db[[#This Row],[ID]]&lt;&gt;"",(TODAY()-emp_db[[#This Row],[Column1]])/365,""))</f>
        <v/>
      </c>
      <c r="R257" s="42" t="str">
        <f ca="1">IF(emp_db[[#This Row],[Date of Birth]]&lt;&gt;"",(TODAY()-emp_db[[#This Row],[Date of Birth]])/365,"")</f>
        <v/>
      </c>
      <c r="S257" s="42">
        <f>YEAR(emp_db[[#This Row],[Column1]])</f>
        <v>1900</v>
      </c>
      <c r="T257" s="42">
        <f>MONTH(emp_db[[#This Row],[Column1]])</f>
        <v>1</v>
      </c>
      <c r="U257" s="42">
        <f>IFERROR(YEAR(emp_db[[#This Row],[Exit Date]]),"")</f>
        <v>1900</v>
      </c>
      <c r="V257" s="42">
        <f>IFERROR(MONTH(emp_db[[#This Row],[Exit Date]]),"")</f>
        <v>1</v>
      </c>
    </row>
    <row r="258" spans="2:22">
      <c r="B258" s="39"/>
      <c r="C258" s="39"/>
      <c r="D258" s="39"/>
      <c r="E258" s="39"/>
      <c r="F258" s="40"/>
      <c r="G258" s="38"/>
      <c r="H258" s="43"/>
      <c r="I258" s="43"/>
      <c r="J258" s="39"/>
      <c r="K258" s="38"/>
      <c r="L258" s="39"/>
      <c r="M258" s="39"/>
      <c r="N258" s="43"/>
      <c r="O258" s="38"/>
      <c r="P258" s="38"/>
      <c r="Q258" s="41" t="str">
        <f ca="1">IF(emp_db[[#This Row],[Exit Date]]&lt;&gt;"",(emp_db[[#This Row],[Exit Date]]-emp_db[[#This Row],[Column1]])/365,IF(emp_db[[#This Row],[ID]]&lt;&gt;"",(TODAY()-emp_db[[#This Row],[Column1]])/365,""))</f>
        <v/>
      </c>
      <c r="R258" s="42" t="str">
        <f ca="1">IF(emp_db[[#This Row],[Date of Birth]]&lt;&gt;"",(TODAY()-emp_db[[#This Row],[Date of Birth]])/365,"")</f>
        <v/>
      </c>
      <c r="S258" s="42">
        <f>YEAR(emp_db[[#This Row],[Column1]])</f>
        <v>1900</v>
      </c>
      <c r="T258" s="42">
        <f>MONTH(emp_db[[#This Row],[Column1]])</f>
        <v>1</v>
      </c>
      <c r="U258" s="42">
        <f>IFERROR(YEAR(emp_db[[#This Row],[Exit Date]]),"")</f>
        <v>1900</v>
      </c>
      <c r="V258" s="42">
        <f>IFERROR(MONTH(emp_db[[#This Row],[Exit Date]]),"")</f>
        <v>1</v>
      </c>
    </row>
    <row r="259" spans="2:22">
      <c r="B259" s="39"/>
      <c r="C259" s="39"/>
      <c r="D259" s="39"/>
      <c r="E259" s="39"/>
      <c r="F259" s="40"/>
      <c r="G259" s="38"/>
      <c r="H259" s="43"/>
      <c r="I259" s="43"/>
      <c r="J259" s="39"/>
      <c r="K259" s="38"/>
      <c r="L259" s="39"/>
      <c r="M259" s="39"/>
      <c r="N259" s="43"/>
      <c r="O259" s="38"/>
      <c r="P259" s="38"/>
      <c r="Q259" s="41" t="str">
        <f ca="1">IF(emp_db[[#This Row],[Exit Date]]&lt;&gt;"",(emp_db[[#This Row],[Exit Date]]-emp_db[[#This Row],[Column1]])/365,IF(emp_db[[#This Row],[ID]]&lt;&gt;"",(TODAY()-emp_db[[#This Row],[Column1]])/365,""))</f>
        <v/>
      </c>
      <c r="R259" s="42" t="str">
        <f ca="1">IF(emp_db[[#This Row],[Date of Birth]]&lt;&gt;"",(TODAY()-emp_db[[#This Row],[Date of Birth]])/365,"")</f>
        <v/>
      </c>
      <c r="S259" s="42">
        <f>YEAR(emp_db[[#This Row],[Column1]])</f>
        <v>1900</v>
      </c>
      <c r="T259" s="42">
        <f>MONTH(emp_db[[#This Row],[Column1]])</f>
        <v>1</v>
      </c>
      <c r="U259" s="42">
        <f>IFERROR(YEAR(emp_db[[#This Row],[Exit Date]]),"")</f>
        <v>1900</v>
      </c>
      <c r="V259" s="42">
        <f>IFERROR(MONTH(emp_db[[#This Row],[Exit Date]]),"")</f>
        <v>1</v>
      </c>
    </row>
    <row r="260" spans="2:22">
      <c r="B260" s="39"/>
      <c r="C260" s="39"/>
      <c r="D260" s="39"/>
      <c r="E260" s="39"/>
      <c r="F260" s="40"/>
      <c r="G260" s="38"/>
      <c r="H260" s="43"/>
      <c r="I260" s="43"/>
      <c r="J260" s="39"/>
      <c r="K260" s="38"/>
      <c r="L260" s="39"/>
      <c r="M260" s="39"/>
      <c r="N260" s="43"/>
      <c r="O260" s="38"/>
      <c r="P260" s="38"/>
      <c r="Q260" s="41" t="str">
        <f ca="1">IF(emp_db[[#This Row],[Exit Date]]&lt;&gt;"",(emp_db[[#This Row],[Exit Date]]-emp_db[[#This Row],[Column1]])/365,IF(emp_db[[#This Row],[ID]]&lt;&gt;"",(TODAY()-emp_db[[#This Row],[Column1]])/365,""))</f>
        <v/>
      </c>
      <c r="R260" s="42" t="str">
        <f ca="1">IF(emp_db[[#This Row],[Date of Birth]]&lt;&gt;"",(TODAY()-emp_db[[#This Row],[Date of Birth]])/365,"")</f>
        <v/>
      </c>
      <c r="S260" s="42">
        <f>YEAR(emp_db[[#This Row],[Column1]])</f>
        <v>1900</v>
      </c>
      <c r="T260" s="42">
        <f>MONTH(emp_db[[#This Row],[Column1]])</f>
        <v>1</v>
      </c>
      <c r="U260" s="42">
        <f>IFERROR(YEAR(emp_db[[#This Row],[Exit Date]]),"")</f>
        <v>1900</v>
      </c>
      <c r="V260" s="42">
        <f>IFERROR(MONTH(emp_db[[#This Row],[Exit Date]]),"")</f>
        <v>1</v>
      </c>
    </row>
    <row r="261" spans="2:22">
      <c r="B261" s="39"/>
      <c r="C261" s="39"/>
      <c r="D261" s="39"/>
      <c r="E261" s="39"/>
      <c r="F261" s="40"/>
      <c r="G261" s="38"/>
      <c r="H261" s="43"/>
      <c r="I261" s="43"/>
      <c r="J261" s="39"/>
      <c r="K261" s="38"/>
      <c r="L261" s="39"/>
      <c r="M261" s="39"/>
      <c r="N261" s="43"/>
      <c r="O261" s="38"/>
      <c r="P261" s="38"/>
      <c r="Q261" s="41" t="str">
        <f ca="1">IF(emp_db[[#This Row],[Exit Date]]&lt;&gt;"",(emp_db[[#This Row],[Exit Date]]-emp_db[[#This Row],[Column1]])/365,IF(emp_db[[#This Row],[ID]]&lt;&gt;"",(TODAY()-emp_db[[#This Row],[Column1]])/365,""))</f>
        <v/>
      </c>
      <c r="R261" s="42" t="str">
        <f ca="1">IF(emp_db[[#This Row],[Date of Birth]]&lt;&gt;"",(TODAY()-emp_db[[#This Row],[Date of Birth]])/365,"")</f>
        <v/>
      </c>
      <c r="S261" s="42">
        <f>YEAR(emp_db[[#This Row],[Column1]])</f>
        <v>1900</v>
      </c>
      <c r="T261" s="42">
        <f>MONTH(emp_db[[#This Row],[Column1]])</f>
        <v>1</v>
      </c>
      <c r="U261" s="42">
        <f>IFERROR(YEAR(emp_db[[#This Row],[Exit Date]]),"")</f>
        <v>1900</v>
      </c>
      <c r="V261" s="42">
        <f>IFERROR(MONTH(emp_db[[#This Row],[Exit Date]]),"")</f>
        <v>1</v>
      </c>
    </row>
    <row r="262" spans="2:22">
      <c r="B262" s="39"/>
      <c r="C262" s="39"/>
      <c r="D262" s="39"/>
      <c r="E262" s="39"/>
      <c r="F262" s="40"/>
      <c r="G262" s="38"/>
      <c r="H262" s="43"/>
      <c r="I262" s="43"/>
      <c r="J262" s="39"/>
      <c r="K262" s="38"/>
      <c r="L262" s="39"/>
      <c r="M262" s="39"/>
      <c r="N262" s="43"/>
      <c r="O262" s="38"/>
      <c r="P262" s="38"/>
      <c r="Q262" s="41" t="str">
        <f ca="1">IF(emp_db[[#This Row],[Exit Date]]&lt;&gt;"",(emp_db[[#This Row],[Exit Date]]-emp_db[[#This Row],[Column1]])/365,IF(emp_db[[#This Row],[ID]]&lt;&gt;"",(TODAY()-emp_db[[#This Row],[Column1]])/365,""))</f>
        <v/>
      </c>
      <c r="R262" s="42" t="str">
        <f ca="1">IF(emp_db[[#This Row],[Date of Birth]]&lt;&gt;"",(TODAY()-emp_db[[#This Row],[Date of Birth]])/365,"")</f>
        <v/>
      </c>
      <c r="S262" s="42">
        <f>YEAR(emp_db[[#This Row],[Column1]])</f>
        <v>1900</v>
      </c>
      <c r="T262" s="42">
        <f>MONTH(emp_db[[#This Row],[Column1]])</f>
        <v>1</v>
      </c>
      <c r="U262" s="42">
        <f>IFERROR(YEAR(emp_db[[#This Row],[Exit Date]]),"")</f>
        <v>1900</v>
      </c>
      <c r="V262" s="42">
        <f>IFERROR(MONTH(emp_db[[#This Row],[Exit Date]]),"")</f>
        <v>1</v>
      </c>
    </row>
    <row r="263" spans="2:22">
      <c r="B263" s="39"/>
      <c r="C263" s="39"/>
      <c r="D263" s="39"/>
      <c r="E263" s="39"/>
      <c r="F263" s="40"/>
      <c r="G263" s="38"/>
      <c r="H263" s="43"/>
      <c r="I263" s="43"/>
      <c r="J263" s="39"/>
      <c r="K263" s="38"/>
      <c r="L263" s="39"/>
      <c r="M263" s="39"/>
      <c r="N263" s="43"/>
      <c r="O263" s="38"/>
      <c r="P263" s="38"/>
      <c r="Q263" s="41" t="str">
        <f ca="1">IF(emp_db[[#This Row],[Exit Date]]&lt;&gt;"",(emp_db[[#This Row],[Exit Date]]-emp_db[[#This Row],[Column1]])/365,IF(emp_db[[#This Row],[ID]]&lt;&gt;"",(TODAY()-emp_db[[#This Row],[Column1]])/365,""))</f>
        <v/>
      </c>
      <c r="R263" s="42" t="str">
        <f ca="1">IF(emp_db[[#This Row],[Date of Birth]]&lt;&gt;"",(TODAY()-emp_db[[#This Row],[Date of Birth]])/365,"")</f>
        <v/>
      </c>
      <c r="S263" s="42">
        <f>YEAR(emp_db[[#This Row],[Column1]])</f>
        <v>1900</v>
      </c>
      <c r="T263" s="42">
        <f>MONTH(emp_db[[#This Row],[Column1]])</f>
        <v>1</v>
      </c>
      <c r="U263" s="42">
        <f>IFERROR(YEAR(emp_db[[#This Row],[Exit Date]]),"")</f>
        <v>1900</v>
      </c>
      <c r="V263" s="42">
        <f>IFERROR(MONTH(emp_db[[#This Row],[Exit Date]]),"")</f>
        <v>1</v>
      </c>
    </row>
    <row r="264" spans="2:22">
      <c r="B264" s="39"/>
      <c r="C264" s="39"/>
      <c r="D264" s="39"/>
      <c r="E264" s="39"/>
      <c r="F264" s="40"/>
      <c r="G264" s="38"/>
      <c r="H264" s="43"/>
      <c r="I264" s="43"/>
      <c r="J264" s="39"/>
      <c r="K264" s="38"/>
      <c r="L264" s="39"/>
      <c r="M264" s="39"/>
      <c r="N264" s="43"/>
      <c r="O264" s="38"/>
      <c r="P264" s="38"/>
      <c r="Q264" s="41" t="str">
        <f ca="1">IF(emp_db[[#This Row],[Exit Date]]&lt;&gt;"",(emp_db[[#This Row],[Exit Date]]-emp_db[[#This Row],[Column1]])/365,IF(emp_db[[#This Row],[ID]]&lt;&gt;"",(TODAY()-emp_db[[#This Row],[Column1]])/365,""))</f>
        <v/>
      </c>
      <c r="R264" s="42" t="str">
        <f ca="1">IF(emp_db[[#This Row],[Date of Birth]]&lt;&gt;"",(TODAY()-emp_db[[#This Row],[Date of Birth]])/365,"")</f>
        <v/>
      </c>
      <c r="S264" s="42">
        <f>YEAR(emp_db[[#This Row],[Column1]])</f>
        <v>1900</v>
      </c>
      <c r="T264" s="42">
        <f>MONTH(emp_db[[#This Row],[Column1]])</f>
        <v>1</v>
      </c>
      <c r="U264" s="42">
        <f>IFERROR(YEAR(emp_db[[#This Row],[Exit Date]]),"")</f>
        <v>1900</v>
      </c>
      <c r="V264" s="42">
        <f>IFERROR(MONTH(emp_db[[#This Row],[Exit Date]]),"")</f>
        <v>1</v>
      </c>
    </row>
    <row r="265" spans="2:22">
      <c r="B265" s="39"/>
      <c r="C265" s="39"/>
      <c r="D265" s="39"/>
      <c r="E265" s="39"/>
      <c r="F265" s="40"/>
      <c r="G265" s="38"/>
      <c r="H265" s="43"/>
      <c r="I265" s="43"/>
      <c r="J265" s="39"/>
      <c r="K265" s="38"/>
      <c r="L265" s="39"/>
      <c r="M265" s="39"/>
      <c r="N265" s="43"/>
      <c r="O265" s="38"/>
      <c r="P265" s="38"/>
      <c r="Q265" s="41" t="str">
        <f ca="1">IF(emp_db[[#This Row],[Exit Date]]&lt;&gt;"",(emp_db[[#This Row],[Exit Date]]-emp_db[[#This Row],[Column1]])/365,IF(emp_db[[#This Row],[ID]]&lt;&gt;"",(TODAY()-emp_db[[#This Row],[Column1]])/365,""))</f>
        <v/>
      </c>
      <c r="R265" s="42" t="str">
        <f ca="1">IF(emp_db[[#This Row],[Date of Birth]]&lt;&gt;"",(TODAY()-emp_db[[#This Row],[Date of Birth]])/365,"")</f>
        <v/>
      </c>
      <c r="S265" s="42">
        <f>YEAR(emp_db[[#This Row],[Column1]])</f>
        <v>1900</v>
      </c>
      <c r="T265" s="42">
        <f>MONTH(emp_db[[#This Row],[Column1]])</f>
        <v>1</v>
      </c>
      <c r="U265" s="42">
        <f>IFERROR(YEAR(emp_db[[#This Row],[Exit Date]]),"")</f>
        <v>1900</v>
      </c>
      <c r="V265" s="42">
        <f>IFERROR(MONTH(emp_db[[#This Row],[Exit Date]]),"")</f>
        <v>1</v>
      </c>
    </row>
    <row r="266" spans="2:22">
      <c r="B266" s="39"/>
      <c r="C266" s="39"/>
      <c r="D266" s="39"/>
      <c r="E266" s="39"/>
      <c r="F266" s="40"/>
      <c r="G266" s="38"/>
      <c r="H266" s="43"/>
      <c r="I266" s="43"/>
      <c r="J266" s="39"/>
      <c r="K266" s="38"/>
      <c r="L266" s="39"/>
      <c r="M266" s="39"/>
      <c r="N266" s="43"/>
      <c r="O266" s="38"/>
      <c r="P266" s="38"/>
      <c r="Q266" s="41" t="str">
        <f ca="1">IF(emp_db[[#This Row],[Exit Date]]&lt;&gt;"",(emp_db[[#This Row],[Exit Date]]-emp_db[[#This Row],[Column1]])/365,IF(emp_db[[#This Row],[ID]]&lt;&gt;"",(TODAY()-emp_db[[#This Row],[Column1]])/365,""))</f>
        <v/>
      </c>
      <c r="R266" s="42" t="str">
        <f ca="1">IF(emp_db[[#This Row],[Date of Birth]]&lt;&gt;"",(TODAY()-emp_db[[#This Row],[Date of Birth]])/365,"")</f>
        <v/>
      </c>
      <c r="S266" s="42">
        <f>YEAR(emp_db[[#This Row],[Column1]])</f>
        <v>1900</v>
      </c>
      <c r="T266" s="42">
        <f>MONTH(emp_db[[#This Row],[Column1]])</f>
        <v>1</v>
      </c>
      <c r="U266" s="42">
        <f>IFERROR(YEAR(emp_db[[#This Row],[Exit Date]]),"")</f>
        <v>1900</v>
      </c>
      <c r="V266" s="42">
        <f>IFERROR(MONTH(emp_db[[#This Row],[Exit Date]]),"")</f>
        <v>1</v>
      </c>
    </row>
    <row r="267" spans="2:22">
      <c r="B267" s="39"/>
      <c r="C267" s="39"/>
      <c r="D267" s="39"/>
      <c r="E267" s="39"/>
      <c r="F267" s="40"/>
      <c r="G267" s="38"/>
      <c r="H267" s="43"/>
      <c r="I267" s="43"/>
      <c r="J267" s="39"/>
      <c r="K267" s="38"/>
      <c r="L267" s="39"/>
      <c r="M267" s="39"/>
      <c r="N267" s="43"/>
      <c r="O267" s="38"/>
      <c r="P267" s="38"/>
      <c r="Q267" s="41" t="str">
        <f ca="1">IF(emp_db[[#This Row],[Exit Date]]&lt;&gt;"",(emp_db[[#This Row],[Exit Date]]-emp_db[[#This Row],[Column1]])/365,IF(emp_db[[#This Row],[ID]]&lt;&gt;"",(TODAY()-emp_db[[#This Row],[Column1]])/365,""))</f>
        <v/>
      </c>
      <c r="R267" s="42" t="str">
        <f ca="1">IF(emp_db[[#This Row],[Date of Birth]]&lt;&gt;"",(TODAY()-emp_db[[#This Row],[Date of Birth]])/365,"")</f>
        <v/>
      </c>
      <c r="S267" s="42">
        <f>YEAR(emp_db[[#This Row],[Column1]])</f>
        <v>1900</v>
      </c>
      <c r="T267" s="42">
        <f>MONTH(emp_db[[#This Row],[Column1]])</f>
        <v>1</v>
      </c>
      <c r="U267" s="42">
        <f>IFERROR(YEAR(emp_db[[#This Row],[Exit Date]]),"")</f>
        <v>1900</v>
      </c>
      <c r="V267" s="42">
        <f>IFERROR(MONTH(emp_db[[#This Row],[Exit Date]]),"")</f>
        <v>1</v>
      </c>
    </row>
    <row r="268" spans="2:22">
      <c r="B268" s="39"/>
      <c r="C268" s="39"/>
      <c r="D268" s="39"/>
      <c r="E268" s="39"/>
      <c r="F268" s="40"/>
      <c r="G268" s="38"/>
      <c r="H268" s="43"/>
      <c r="I268" s="43"/>
      <c r="J268" s="39"/>
      <c r="K268" s="38"/>
      <c r="L268" s="39"/>
      <c r="M268" s="39"/>
      <c r="N268" s="43"/>
      <c r="O268" s="38"/>
      <c r="P268" s="38"/>
      <c r="Q268" s="41" t="str">
        <f ca="1">IF(emp_db[[#This Row],[Exit Date]]&lt;&gt;"",(emp_db[[#This Row],[Exit Date]]-emp_db[[#This Row],[Column1]])/365,IF(emp_db[[#This Row],[ID]]&lt;&gt;"",(TODAY()-emp_db[[#This Row],[Column1]])/365,""))</f>
        <v/>
      </c>
      <c r="R268" s="42" t="str">
        <f ca="1">IF(emp_db[[#This Row],[Date of Birth]]&lt;&gt;"",(TODAY()-emp_db[[#This Row],[Date of Birth]])/365,"")</f>
        <v/>
      </c>
      <c r="S268" s="42">
        <f>YEAR(emp_db[[#This Row],[Column1]])</f>
        <v>1900</v>
      </c>
      <c r="T268" s="42">
        <f>MONTH(emp_db[[#This Row],[Column1]])</f>
        <v>1</v>
      </c>
      <c r="U268" s="42">
        <f>IFERROR(YEAR(emp_db[[#This Row],[Exit Date]]),"")</f>
        <v>1900</v>
      </c>
      <c r="V268" s="42">
        <f>IFERROR(MONTH(emp_db[[#This Row],[Exit Date]]),"")</f>
        <v>1</v>
      </c>
    </row>
    <row r="269" spans="2:22">
      <c r="B269" s="39"/>
      <c r="C269" s="39"/>
      <c r="D269" s="39"/>
      <c r="E269" s="39"/>
      <c r="F269" s="40"/>
      <c r="G269" s="38"/>
      <c r="H269" s="43"/>
      <c r="I269" s="43"/>
      <c r="J269" s="39"/>
      <c r="K269" s="38"/>
      <c r="L269" s="39"/>
      <c r="M269" s="39"/>
      <c r="N269" s="43"/>
      <c r="O269" s="38"/>
      <c r="P269" s="38"/>
      <c r="Q269" s="41" t="str">
        <f ca="1">IF(emp_db[[#This Row],[Exit Date]]&lt;&gt;"",(emp_db[[#This Row],[Exit Date]]-emp_db[[#This Row],[Column1]])/365,IF(emp_db[[#This Row],[ID]]&lt;&gt;"",(TODAY()-emp_db[[#This Row],[Column1]])/365,""))</f>
        <v/>
      </c>
      <c r="R269" s="42" t="str">
        <f ca="1">IF(emp_db[[#This Row],[Date of Birth]]&lt;&gt;"",(TODAY()-emp_db[[#This Row],[Date of Birth]])/365,"")</f>
        <v/>
      </c>
      <c r="S269" s="42">
        <f>YEAR(emp_db[[#This Row],[Column1]])</f>
        <v>1900</v>
      </c>
      <c r="T269" s="42">
        <f>MONTH(emp_db[[#This Row],[Column1]])</f>
        <v>1</v>
      </c>
      <c r="U269" s="42">
        <f>IFERROR(YEAR(emp_db[[#This Row],[Exit Date]]),"")</f>
        <v>1900</v>
      </c>
      <c r="V269" s="42">
        <f>IFERROR(MONTH(emp_db[[#This Row],[Exit Date]]),"")</f>
        <v>1</v>
      </c>
    </row>
    <row r="270" spans="2:22">
      <c r="B270" s="39"/>
      <c r="C270" s="39"/>
      <c r="D270" s="39"/>
      <c r="E270" s="39"/>
      <c r="F270" s="40"/>
      <c r="G270" s="38"/>
      <c r="H270" s="43"/>
      <c r="I270" s="43"/>
      <c r="J270" s="39"/>
      <c r="K270" s="38"/>
      <c r="L270" s="39"/>
      <c r="M270" s="39"/>
      <c r="N270" s="43"/>
      <c r="O270" s="38"/>
      <c r="P270" s="38"/>
      <c r="Q270" s="41" t="str">
        <f ca="1">IF(emp_db[[#This Row],[Exit Date]]&lt;&gt;"",(emp_db[[#This Row],[Exit Date]]-emp_db[[#This Row],[Column1]])/365,IF(emp_db[[#This Row],[ID]]&lt;&gt;"",(TODAY()-emp_db[[#This Row],[Column1]])/365,""))</f>
        <v/>
      </c>
      <c r="R270" s="42" t="str">
        <f ca="1">IF(emp_db[[#This Row],[Date of Birth]]&lt;&gt;"",(TODAY()-emp_db[[#This Row],[Date of Birth]])/365,"")</f>
        <v/>
      </c>
      <c r="S270" s="42">
        <f>YEAR(emp_db[[#This Row],[Column1]])</f>
        <v>1900</v>
      </c>
      <c r="T270" s="42">
        <f>MONTH(emp_db[[#This Row],[Column1]])</f>
        <v>1</v>
      </c>
      <c r="U270" s="42">
        <f>IFERROR(YEAR(emp_db[[#This Row],[Exit Date]]),"")</f>
        <v>1900</v>
      </c>
      <c r="V270" s="42">
        <f>IFERROR(MONTH(emp_db[[#This Row],[Exit Date]]),"")</f>
        <v>1</v>
      </c>
    </row>
    <row r="271" spans="2:22">
      <c r="B271" s="39"/>
      <c r="C271" s="39"/>
      <c r="D271" s="39"/>
      <c r="E271" s="39"/>
      <c r="F271" s="40"/>
      <c r="G271" s="38"/>
      <c r="H271" s="43"/>
      <c r="I271" s="43"/>
      <c r="J271" s="39"/>
      <c r="K271" s="38"/>
      <c r="L271" s="39"/>
      <c r="M271" s="39"/>
      <c r="N271" s="43"/>
      <c r="O271" s="38"/>
      <c r="P271" s="38"/>
      <c r="Q271" s="41" t="str">
        <f ca="1">IF(emp_db[[#This Row],[Exit Date]]&lt;&gt;"",(emp_db[[#This Row],[Exit Date]]-emp_db[[#This Row],[Column1]])/365,IF(emp_db[[#This Row],[ID]]&lt;&gt;"",(TODAY()-emp_db[[#This Row],[Column1]])/365,""))</f>
        <v/>
      </c>
      <c r="R271" s="42" t="str">
        <f ca="1">IF(emp_db[[#This Row],[Date of Birth]]&lt;&gt;"",(TODAY()-emp_db[[#This Row],[Date of Birth]])/365,"")</f>
        <v/>
      </c>
      <c r="S271" s="42">
        <f>YEAR(emp_db[[#This Row],[Column1]])</f>
        <v>1900</v>
      </c>
      <c r="T271" s="42">
        <f>MONTH(emp_db[[#This Row],[Column1]])</f>
        <v>1</v>
      </c>
      <c r="U271" s="42">
        <f>IFERROR(YEAR(emp_db[[#This Row],[Exit Date]]),"")</f>
        <v>1900</v>
      </c>
      <c r="V271" s="42">
        <f>IFERROR(MONTH(emp_db[[#This Row],[Exit Date]]),"")</f>
        <v>1</v>
      </c>
    </row>
    <row r="272" spans="2:22">
      <c r="B272" s="39"/>
      <c r="C272" s="39"/>
      <c r="D272" s="39"/>
      <c r="E272" s="39"/>
      <c r="F272" s="40"/>
      <c r="G272" s="38"/>
      <c r="H272" s="43"/>
      <c r="I272" s="43"/>
      <c r="J272" s="39"/>
      <c r="K272" s="38"/>
      <c r="L272" s="39"/>
      <c r="M272" s="39"/>
      <c r="N272" s="43"/>
      <c r="O272" s="38"/>
      <c r="P272" s="38"/>
      <c r="Q272" s="41" t="str">
        <f ca="1">IF(emp_db[[#This Row],[Exit Date]]&lt;&gt;"",(emp_db[[#This Row],[Exit Date]]-emp_db[[#This Row],[Column1]])/365,IF(emp_db[[#This Row],[ID]]&lt;&gt;"",(TODAY()-emp_db[[#This Row],[Column1]])/365,""))</f>
        <v/>
      </c>
      <c r="R272" s="42" t="str">
        <f ca="1">IF(emp_db[[#This Row],[Date of Birth]]&lt;&gt;"",(TODAY()-emp_db[[#This Row],[Date of Birth]])/365,"")</f>
        <v/>
      </c>
      <c r="S272" s="42">
        <f>YEAR(emp_db[[#This Row],[Column1]])</f>
        <v>1900</v>
      </c>
      <c r="T272" s="42">
        <f>MONTH(emp_db[[#This Row],[Column1]])</f>
        <v>1</v>
      </c>
      <c r="U272" s="42">
        <f>IFERROR(YEAR(emp_db[[#This Row],[Exit Date]]),"")</f>
        <v>1900</v>
      </c>
      <c r="V272" s="42">
        <f>IFERROR(MONTH(emp_db[[#This Row],[Exit Date]]),"")</f>
        <v>1</v>
      </c>
    </row>
    <row r="273" spans="2:22">
      <c r="B273" s="39"/>
      <c r="C273" s="39"/>
      <c r="D273" s="39"/>
      <c r="E273" s="39"/>
      <c r="F273" s="40"/>
      <c r="G273" s="38"/>
      <c r="H273" s="43"/>
      <c r="I273" s="43"/>
      <c r="J273" s="39"/>
      <c r="K273" s="38"/>
      <c r="L273" s="39"/>
      <c r="M273" s="39"/>
      <c r="N273" s="43"/>
      <c r="O273" s="38"/>
      <c r="P273" s="38"/>
      <c r="Q273" s="41" t="str">
        <f ca="1">IF(emp_db[[#This Row],[Exit Date]]&lt;&gt;"",(emp_db[[#This Row],[Exit Date]]-emp_db[[#This Row],[Column1]])/365,IF(emp_db[[#This Row],[ID]]&lt;&gt;"",(TODAY()-emp_db[[#This Row],[Column1]])/365,""))</f>
        <v/>
      </c>
      <c r="R273" s="42" t="str">
        <f ca="1">IF(emp_db[[#This Row],[Date of Birth]]&lt;&gt;"",(TODAY()-emp_db[[#This Row],[Date of Birth]])/365,"")</f>
        <v/>
      </c>
      <c r="S273" s="42">
        <f>YEAR(emp_db[[#This Row],[Column1]])</f>
        <v>1900</v>
      </c>
      <c r="T273" s="42">
        <f>MONTH(emp_db[[#This Row],[Column1]])</f>
        <v>1</v>
      </c>
      <c r="U273" s="42">
        <f>IFERROR(YEAR(emp_db[[#This Row],[Exit Date]]),"")</f>
        <v>1900</v>
      </c>
      <c r="V273" s="42">
        <f>IFERROR(MONTH(emp_db[[#This Row],[Exit Date]]),"")</f>
        <v>1</v>
      </c>
    </row>
    <row r="274" spans="2:22">
      <c r="B274" s="39"/>
      <c r="C274" s="39"/>
      <c r="D274" s="39"/>
      <c r="E274" s="39"/>
      <c r="F274" s="40"/>
      <c r="G274" s="38"/>
      <c r="H274" s="43"/>
      <c r="I274" s="43"/>
      <c r="J274" s="39"/>
      <c r="K274" s="38"/>
      <c r="L274" s="39"/>
      <c r="M274" s="39"/>
      <c r="N274" s="43"/>
      <c r="O274" s="38"/>
      <c r="P274" s="38"/>
      <c r="Q274" s="41" t="str">
        <f ca="1">IF(emp_db[[#This Row],[Exit Date]]&lt;&gt;"",(emp_db[[#This Row],[Exit Date]]-emp_db[[#This Row],[Column1]])/365,IF(emp_db[[#This Row],[ID]]&lt;&gt;"",(TODAY()-emp_db[[#This Row],[Column1]])/365,""))</f>
        <v/>
      </c>
      <c r="R274" s="42" t="str">
        <f ca="1">IF(emp_db[[#This Row],[Date of Birth]]&lt;&gt;"",(TODAY()-emp_db[[#This Row],[Date of Birth]])/365,"")</f>
        <v/>
      </c>
      <c r="S274" s="42">
        <f>YEAR(emp_db[[#This Row],[Column1]])</f>
        <v>1900</v>
      </c>
      <c r="T274" s="42">
        <f>MONTH(emp_db[[#This Row],[Column1]])</f>
        <v>1</v>
      </c>
      <c r="U274" s="42">
        <f>IFERROR(YEAR(emp_db[[#This Row],[Exit Date]]),"")</f>
        <v>1900</v>
      </c>
      <c r="V274" s="42">
        <f>IFERROR(MONTH(emp_db[[#This Row],[Exit Date]]),"")</f>
        <v>1</v>
      </c>
    </row>
    <row r="275" spans="2:22">
      <c r="B275" s="39"/>
      <c r="C275" s="39"/>
      <c r="D275" s="39"/>
      <c r="E275" s="39"/>
      <c r="F275" s="40"/>
      <c r="G275" s="38"/>
      <c r="H275" s="43"/>
      <c r="I275" s="43"/>
      <c r="J275" s="39"/>
      <c r="K275" s="38"/>
      <c r="L275" s="39"/>
      <c r="M275" s="39"/>
      <c r="N275" s="43"/>
      <c r="O275" s="38"/>
      <c r="P275" s="38"/>
      <c r="Q275" s="41" t="str">
        <f ca="1">IF(emp_db[[#This Row],[Exit Date]]&lt;&gt;"",(emp_db[[#This Row],[Exit Date]]-emp_db[[#This Row],[Column1]])/365,IF(emp_db[[#This Row],[ID]]&lt;&gt;"",(TODAY()-emp_db[[#This Row],[Column1]])/365,""))</f>
        <v/>
      </c>
      <c r="R275" s="42" t="str">
        <f ca="1">IF(emp_db[[#This Row],[Date of Birth]]&lt;&gt;"",(TODAY()-emp_db[[#This Row],[Date of Birth]])/365,"")</f>
        <v/>
      </c>
      <c r="S275" s="42">
        <f>YEAR(emp_db[[#This Row],[Column1]])</f>
        <v>1900</v>
      </c>
      <c r="T275" s="42">
        <f>MONTH(emp_db[[#This Row],[Column1]])</f>
        <v>1</v>
      </c>
      <c r="U275" s="42">
        <f>IFERROR(YEAR(emp_db[[#This Row],[Exit Date]]),"")</f>
        <v>1900</v>
      </c>
      <c r="V275" s="42">
        <f>IFERROR(MONTH(emp_db[[#This Row],[Exit Date]]),"")</f>
        <v>1</v>
      </c>
    </row>
    <row r="276" spans="2:22">
      <c r="B276" s="39"/>
      <c r="C276" s="39"/>
      <c r="D276" s="39"/>
      <c r="E276" s="39"/>
      <c r="F276" s="40"/>
      <c r="G276" s="38"/>
      <c r="H276" s="43"/>
      <c r="I276" s="43"/>
      <c r="J276" s="39"/>
      <c r="K276" s="38"/>
      <c r="L276" s="39"/>
      <c r="M276" s="39"/>
      <c r="N276" s="43"/>
      <c r="O276" s="38"/>
      <c r="P276" s="38"/>
      <c r="Q276" s="41" t="str">
        <f ca="1">IF(emp_db[[#This Row],[Exit Date]]&lt;&gt;"",(emp_db[[#This Row],[Exit Date]]-emp_db[[#This Row],[Column1]])/365,IF(emp_db[[#This Row],[ID]]&lt;&gt;"",(TODAY()-emp_db[[#This Row],[Column1]])/365,""))</f>
        <v/>
      </c>
      <c r="R276" s="42" t="str">
        <f ca="1">IF(emp_db[[#This Row],[Date of Birth]]&lt;&gt;"",(TODAY()-emp_db[[#This Row],[Date of Birth]])/365,"")</f>
        <v/>
      </c>
      <c r="S276" s="42">
        <f>YEAR(emp_db[[#This Row],[Column1]])</f>
        <v>1900</v>
      </c>
      <c r="T276" s="42">
        <f>MONTH(emp_db[[#This Row],[Column1]])</f>
        <v>1</v>
      </c>
      <c r="U276" s="42">
        <f>IFERROR(YEAR(emp_db[[#This Row],[Exit Date]]),"")</f>
        <v>1900</v>
      </c>
      <c r="V276" s="42">
        <f>IFERROR(MONTH(emp_db[[#This Row],[Exit Date]]),"")</f>
        <v>1</v>
      </c>
    </row>
    <row r="277" spans="2:22">
      <c r="B277" s="39"/>
      <c r="C277" s="39"/>
      <c r="D277" s="39"/>
      <c r="E277" s="39"/>
      <c r="F277" s="40"/>
      <c r="G277" s="38"/>
      <c r="H277" s="43"/>
      <c r="I277" s="43"/>
      <c r="J277" s="39"/>
      <c r="K277" s="38"/>
      <c r="L277" s="39"/>
      <c r="M277" s="39"/>
      <c r="N277" s="43"/>
      <c r="O277" s="38"/>
      <c r="P277" s="38"/>
      <c r="Q277" s="41" t="str">
        <f ca="1">IF(emp_db[[#This Row],[Exit Date]]&lt;&gt;"",(emp_db[[#This Row],[Exit Date]]-emp_db[[#This Row],[Column1]])/365,IF(emp_db[[#This Row],[ID]]&lt;&gt;"",(TODAY()-emp_db[[#This Row],[Column1]])/365,""))</f>
        <v/>
      </c>
      <c r="R277" s="42" t="str">
        <f ca="1">IF(emp_db[[#This Row],[Date of Birth]]&lt;&gt;"",(TODAY()-emp_db[[#This Row],[Date of Birth]])/365,"")</f>
        <v/>
      </c>
      <c r="S277" s="42">
        <f>YEAR(emp_db[[#This Row],[Column1]])</f>
        <v>1900</v>
      </c>
      <c r="T277" s="42">
        <f>MONTH(emp_db[[#This Row],[Column1]])</f>
        <v>1</v>
      </c>
      <c r="U277" s="42">
        <f>IFERROR(YEAR(emp_db[[#This Row],[Exit Date]]),"")</f>
        <v>1900</v>
      </c>
      <c r="V277" s="42">
        <f>IFERROR(MONTH(emp_db[[#This Row],[Exit Date]]),"")</f>
        <v>1</v>
      </c>
    </row>
    <row r="278" spans="2:22">
      <c r="B278" s="39"/>
      <c r="C278" s="39"/>
      <c r="D278" s="39"/>
      <c r="E278" s="39"/>
      <c r="F278" s="40"/>
      <c r="G278" s="38"/>
      <c r="H278" s="43"/>
      <c r="I278" s="43"/>
      <c r="J278" s="39"/>
      <c r="K278" s="38"/>
      <c r="L278" s="39"/>
      <c r="M278" s="39"/>
      <c r="N278" s="43"/>
      <c r="O278" s="38"/>
      <c r="P278" s="38"/>
      <c r="Q278" s="41" t="str">
        <f ca="1">IF(emp_db[[#This Row],[Exit Date]]&lt;&gt;"",(emp_db[[#This Row],[Exit Date]]-emp_db[[#This Row],[Column1]])/365,IF(emp_db[[#This Row],[ID]]&lt;&gt;"",(TODAY()-emp_db[[#This Row],[Column1]])/365,""))</f>
        <v/>
      </c>
      <c r="R278" s="42" t="str">
        <f ca="1">IF(emp_db[[#This Row],[Date of Birth]]&lt;&gt;"",(TODAY()-emp_db[[#This Row],[Date of Birth]])/365,"")</f>
        <v/>
      </c>
      <c r="S278" s="42">
        <f>YEAR(emp_db[[#This Row],[Column1]])</f>
        <v>1900</v>
      </c>
      <c r="T278" s="42">
        <f>MONTH(emp_db[[#This Row],[Column1]])</f>
        <v>1</v>
      </c>
      <c r="U278" s="42">
        <f>IFERROR(YEAR(emp_db[[#This Row],[Exit Date]]),"")</f>
        <v>1900</v>
      </c>
      <c r="V278" s="42">
        <f>IFERROR(MONTH(emp_db[[#This Row],[Exit Date]]),"")</f>
        <v>1</v>
      </c>
    </row>
    <row r="279" spans="2:22">
      <c r="B279" s="39"/>
      <c r="C279" s="39"/>
      <c r="D279" s="39"/>
      <c r="E279" s="39"/>
      <c r="F279" s="40"/>
      <c r="G279" s="38"/>
      <c r="H279" s="43"/>
      <c r="I279" s="43"/>
      <c r="J279" s="39"/>
      <c r="K279" s="38"/>
      <c r="L279" s="39"/>
      <c r="M279" s="39"/>
      <c r="N279" s="43"/>
      <c r="O279" s="38"/>
      <c r="P279" s="38"/>
      <c r="Q279" s="41" t="str">
        <f ca="1">IF(emp_db[[#This Row],[Exit Date]]&lt;&gt;"",(emp_db[[#This Row],[Exit Date]]-emp_db[[#This Row],[Column1]])/365,IF(emp_db[[#This Row],[ID]]&lt;&gt;"",(TODAY()-emp_db[[#This Row],[Column1]])/365,""))</f>
        <v/>
      </c>
      <c r="R279" s="42" t="str">
        <f ca="1">IF(emp_db[[#This Row],[Date of Birth]]&lt;&gt;"",(TODAY()-emp_db[[#This Row],[Date of Birth]])/365,"")</f>
        <v/>
      </c>
      <c r="S279" s="42">
        <f>YEAR(emp_db[[#This Row],[Column1]])</f>
        <v>1900</v>
      </c>
      <c r="T279" s="42">
        <f>MONTH(emp_db[[#This Row],[Column1]])</f>
        <v>1</v>
      </c>
      <c r="U279" s="42">
        <f>IFERROR(YEAR(emp_db[[#This Row],[Exit Date]]),"")</f>
        <v>1900</v>
      </c>
      <c r="V279" s="42">
        <f>IFERROR(MONTH(emp_db[[#This Row],[Exit Date]]),"")</f>
        <v>1</v>
      </c>
    </row>
    <row r="280" spans="2:22">
      <c r="B280" s="39"/>
      <c r="C280" s="39"/>
      <c r="D280" s="39"/>
      <c r="E280" s="39"/>
      <c r="F280" s="40"/>
      <c r="G280" s="38"/>
      <c r="H280" s="43"/>
      <c r="I280" s="43"/>
      <c r="J280" s="39"/>
      <c r="K280" s="38"/>
      <c r="L280" s="39"/>
      <c r="M280" s="39"/>
      <c r="N280" s="43"/>
      <c r="O280" s="38"/>
      <c r="P280" s="38"/>
      <c r="Q280" s="41" t="str">
        <f ca="1">IF(emp_db[[#This Row],[Exit Date]]&lt;&gt;"",(emp_db[[#This Row],[Exit Date]]-emp_db[[#This Row],[Column1]])/365,IF(emp_db[[#This Row],[ID]]&lt;&gt;"",(TODAY()-emp_db[[#This Row],[Column1]])/365,""))</f>
        <v/>
      </c>
      <c r="R280" s="42" t="str">
        <f ca="1">IF(emp_db[[#This Row],[Date of Birth]]&lt;&gt;"",(TODAY()-emp_db[[#This Row],[Date of Birth]])/365,"")</f>
        <v/>
      </c>
      <c r="S280" s="42">
        <f>YEAR(emp_db[[#This Row],[Column1]])</f>
        <v>1900</v>
      </c>
      <c r="T280" s="42">
        <f>MONTH(emp_db[[#This Row],[Column1]])</f>
        <v>1</v>
      </c>
      <c r="U280" s="42">
        <f>IFERROR(YEAR(emp_db[[#This Row],[Exit Date]]),"")</f>
        <v>1900</v>
      </c>
      <c r="V280" s="42">
        <f>IFERROR(MONTH(emp_db[[#This Row],[Exit Date]]),"")</f>
        <v>1</v>
      </c>
    </row>
    <row r="281" spans="2:22">
      <c r="B281" s="39"/>
      <c r="C281" s="39"/>
      <c r="D281" s="39"/>
      <c r="E281" s="39"/>
      <c r="F281" s="40"/>
      <c r="G281" s="38"/>
      <c r="H281" s="43"/>
      <c r="I281" s="43"/>
      <c r="J281" s="39"/>
      <c r="K281" s="38"/>
      <c r="L281" s="39"/>
      <c r="M281" s="39"/>
      <c r="N281" s="43"/>
      <c r="O281" s="38"/>
      <c r="P281" s="38"/>
      <c r="Q281" s="41" t="str">
        <f ca="1">IF(emp_db[[#This Row],[Exit Date]]&lt;&gt;"",(emp_db[[#This Row],[Exit Date]]-emp_db[[#This Row],[Column1]])/365,IF(emp_db[[#This Row],[ID]]&lt;&gt;"",(TODAY()-emp_db[[#This Row],[Column1]])/365,""))</f>
        <v/>
      </c>
      <c r="R281" s="42" t="str">
        <f ca="1">IF(emp_db[[#This Row],[Date of Birth]]&lt;&gt;"",(TODAY()-emp_db[[#This Row],[Date of Birth]])/365,"")</f>
        <v/>
      </c>
      <c r="S281" s="42">
        <f>YEAR(emp_db[[#This Row],[Column1]])</f>
        <v>1900</v>
      </c>
      <c r="T281" s="42">
        <f>MONTH(emp_db[[#This Row],[Column1]])</f>
        <v>1</v>
      </c>
      <c r="U281" s="42">
        <f>IFERROR(YEAR(emp_db[[#This Row],[Exit Date]]),"")</f>
        <v>1900</v>
      </c>
      <c r="V281" s="42">
        <f>IFERROR(MONTH(emp_db[[#This Row],[Exit Date]]),"")</f>
        <v>1</v>
      </c>
    </row>
    <row r="282" spans="2:22">
      <c r="B282" s="39"/>
      <c r="C282" s="39"/>
      <c r="D282" s="39"/>
      <c r="E282" s="39"/>
      <c r="F282" s="40"/>
      <c r="G282" s="38"/>
      <c r="H282" s="43"/>
      <c r="I282" s="43"/>
      <c r="J282" s="39"/>
      <c r="K282" s="38"/>
      <c r="L282" s="39"/>
      <c r="M282" s="39"/>
      <c r="N282" s="43"/>
      <c r="O282" s="38"/>
      <c r="P282" s="38"/>
      <c r="Q282" s="41" t="str">
        <f ca="1">IF(emp_db[[#This Row],[Exit Date]]&lt;&gt;"",(emp_db[[#This Row],[Exit Date]]-emp_db[[#This Row],[Column1]])/365,IF(emp_db[[#This Row],[ID]]&lt;&gt;"",(TODAY()-emp_db[[#This Row],[Column1]])/365,""))</f>
        <v/>
      </c>
      <c r="R282" s="42" t="str">
        <f ca="1">IF(emp_db[[#This Row],[Date of Birth]]&lt;&gt;"",(TODAY()-emp_db[[#This Row],[Date of Birth]])/365,"")</f>
        <v/>
      </c>
      <c r="S282" s="42">
        <f>YEAR(emp_db[[#This Row],[Column1]])</f>
        <v>1900</v>
      </c>
      <c r="T282" s="42">
        <f>MONTH(emp_db[[#This Row],[Column1]])</f>
        <v>1</v>
      </c>
      <c r="U282" s="42">
        <f>IFERROR(YEAR(emp_db[[#This Row],[Exit Date]]),"")</f>
        <v>1900</v>
      </c>
      <c r="V282" s="42">
        <f>IFERROR(MONTH(emp_db[[#This Row],[Exit Date]]),"")</f>
        <v>1</v>
      </c>
    </row>
    <row r="283" spans="2:22">
      <c r="B283" s="39"/>
      <c r="C283" s="39"/>
      <c r="D283" s="39"/>
      <c r="E283" s="39"/>
      <c r="F283" s="40"/>
      <c r="G283" s="38"/>
      <c r="H283" s="43"/>
      <c r="I283" s="43"/>
      <c r="J283" s="39"/>
      <c r="K283" s="38"/>
      <c r="L283" s="39"/>
      <c r="M283" s="39"/>
      <c r="N283" s="43"/>
      <c r="O283" s="38"/>
      <c r="P283" s="38"/>
      <c r="Q283" s="41" t="str">
        <f ca="1">IF(emp_db[[#This Row],[Exit Date]]&lt;&gt;"",(emp_db[[#This Row],[Exit Date]]-emp_db[[#This Row],[Column1]])/365,IF(emp_db[[#This Row],[ID]]&lt;&gt;"",(TODAY()-emp_db[[#This Row],[Column1]])/365,""))</f>
        <v/>
      </c>
      <c r="R283" s="42" t="str">
        <f ca="1">IF(emp_db[[#This Row],[Date of Birth]]&lt;&gt;"",(TODAY()-emp_db[[#This Row],[Date of Birth]])/365,"")</f>
        <v/>
      </c>
      <c r="S283" s="42">
        <f>YEAR(emp_db[[#This Row],[Column1]])</f>
        <v>1900</v>
      </c>
      <c r="T283" s="42">
        <f>MONTH(emp_db[[#This Row],[Column1]])</f>
        <v>1</v>
      </c>
      <c r="U283" s="42">
        <f>IFERROR(YEAR(emp_db[[#This Row],[Exit Date]]),"")</f>
        <v>1900</v>
      </c>
      <c r="V283" s="42">
        <f>IFERROR(MONTH(emp_db[[#This Row],[Exit Date]]),"")</f>
        <v>1</v>
      </c>
    </row>
    <row r="284" spans="2:22">
      <c r="B284" s="39"/>
      <c r="C284" s="39"/>
      <c r="D284" s="39"/>
      <c r="E284" s="39"/>
      <c r="F284" s="40"/>
      <c r="G284" s="38"/>
      <c r="H284" s="43"/>
      <c r="I284" s="43"/>
      <c r="J284" s="39"/>
      <c r="K284" s="38"/>
      <c r="L284" s="39"/>
      <c r="M284" s="39"/>
      <c r="N284" s="43"/>
      <c r="O284" s="38"/>
      <c r="P284" s="38"/>
      <c r="Q284" s="41" t="str">
        <f ca="1">IF(emp_db[[#This Row],[Exit Date]]&lt;&gt;"",(emp_db[[#This Row],[Exit Date]]-emp_db[[#This Row],[Column1]])/365,IF(emp_db[[#This Row],[ID]]&lt;&gt;"",(TODAY()-emp_db[[#This Row],[Column1]])/365,""))</f>
        <v/>
      </c>
      <c r="R284" s="42" t="str">
        <f ca="1">IF(emp_db[[#This Row],[Date of Birth]]&lt;&gt;"",(TODAY()-emp_db[[#This Row],[Date of Birth]])/365,"")</f>
        <v/>
      </c>
      <c r="S284" s="42">
        <f>YEAR(emp_db[[#This Row],[Column1]])</f>
        <v>1900</v>
      </c>
      <c r="T284" s="42">
        <f>MONTH(emp_db[[#This Row],[Column1]])</f>
        <v>1</v>
      </c>
      <c r="U284" s="42">
        <f>IFERROR(YEAR(emp_db[[#This Row],[Exit Date]]),"")</f>
        <v>1900</v>
      </c>
      <c r="V284" s="42">
        <f>IFERROR(MONTH(emp_db[[#This Row],[Exit Date]]),"")</f>
        <v>1</v>
      </c>
    </row>
    <row r="285" spans="2:22">
      <c r="B285" s="39"/>
      <c r="C285" s="39"/>
      <c r="D285" s="39"/>
      <c r="E285" s="39"/>
      <c r="F285" s="40"/>
      <c r="G285" s="38"/>
      <c r="H285" s="43"/>
      <c r="I285" s="43"/>
      <c r="J285" s="39"/>
      <c r="K285" s="38"/>
      <c r="L285" s="39"/>
      <c r="M285" s="39"/>
      <c r="N285" s="43"/>
      <c r="O285" s="38"/>
      <c r="P285" s="38"/>
      <c r="Q285" s="41" t="str">
        <f ca="1">IF(emp_db[[#This Row],[Exit Date]]&lt;&gt;"",(emp_db[[#This Row],[Exit Date]]-emp_db[[#This Row],[Column1]])/365,IF(emp_db[[#This Row],[ID]]&lt;&gt;"",(TODAY()-emp_db[[#This Row],[Column1]])/365,""))</f>
        <v/>
      </c>
      <c r="R285" s="42" t="str">
        <f ca="1">IF(emp_db[[#This Row],[Date of Birth]]&lt;&gt;"",(TODAY()-emp_db[[#This Row],[Date of Birth]])/365,"")</f>
        <v/>
      </c>
      <c r="S285" s="42">
        <f>YEAR(emp_db[[#This Row],[Column1]])</f>
        <v>1900</v>
      </c>
      <c r="T285" s="42">
        <f>MONTH(emp_db[[#This Row],[Column1]])</f>
        <v>1</v>
      </c>
      <c r="U285" s="42">
        <f>IFERROR(YEAR(emp_db[[#This Row],[Exit Date]]),"")</f>
        <v>1900</v>
      </c>
      <c r="V285" s="42">
        <f>IFERROR(MONTH(emp_db[[#This Row],[Exit Date]]),"")</f>
        <v>1</v>
      </c>
    </row>
    <row r="286" spans="2:22">
      <c r="B286" s="39"/>
      <c r="C286" s="39"/>
      <c r="D286" s="39"/>
      <c r="E286" s="39"/>
      <c r="F286" s="40"/>
      <c r="G286" s="38"/>
      <c r="H286" s="43"/>
      <c r="I286" s="43"/>
      <c r="J286" s="39"/>
      <c r="K286" s="38"/>
      <c r="L286" s="39"/>
      <c r="M286" s="39"/>
      <c r="N286" s="43"/>
      <c r="O286" s="38"/>
      <c r="P286" s="38"/>
      <c r="Q286" s="41" t="str">
        <f ca="1">IF(emp_db[[#This Row],[Exit Date]]&lt;&gt;"",(emp_db[[#This Row],[Exit Date]]-emp_db[[#This Row],[Column1]])/365,IF(emp_db[[#This Row],[ID]]&lt;&gt;"",(TODAY()-emp_db[[#This Row],[Column1]])/365,""))</f>
        <v/>
      </c>
      <c r="R286" s="42" t="str">
        <f ca="1">IF(emp_db[[#This Row],[Date of Birth]]&lt;&gt;"",(TODAY()-emp_db[[#This Row],[Date of Birth]])/365,"")</f>
        <v/>
      </c>
      <c r="S286" s="42">
        <f>YEAR(emp_db[[#This Row],[Column1]])</f>
        <v>1900</v>
      </c>
      <c r="T286" s="42">
        <f>MONTH(emp_db[[#This Row],[Column1]])</f>
        <v>1</v>
      </c>
      <c r="U286" s="42">
        <f>IFERROR(YEAR(emp_db[[#This Row],[Exit Date]]),"")</f>
        <v>1900</v>
      </c>
      <c r="V286" s="42">
        <f>IFERROR(MONTH(emp_db[[#This Row],[Exit Date]]),"")</f>
        <v>1</v>
      </c>
    </row>
    <row r="287" spans="2:22">
      <c r="B287" s="39"/>
      <c r="C287" s="39"/>
      <c r="D287" s="39"/>
      <c r="E287" s="39"/>
      <c r="F287" s="40"/>
      <c r="G287" s="38"/>
      <c r="H287" s="43"/>
      <c r="I287" s="43"/>
      <c r="J287" s="39"/>
      <c r="K287" s="38"/>
      <c r="L287" s="39"/>
      <c r="M287" s="39"/>
      <c r="N287" s="43"/>
      <c r="O287" s="38"/>
      <c r="P287" s="38"/>
      <c r="Q287" s="41" t="str">
        <f ca="1">IF(emp_db[[#This Row],[Exit Date]]&lt;&gt;"",(emp_db[[#This Row],[Exit Date]]-emp_db[[#This Row],[Column1]])/365,IF(emp_db[[#This Row],[ID]]&lt;&gt;"",(TODAY()-emp_db[[#This Row],[Column1]])/365,""))</f>
        <v/>
      </c>
      <c r="R287" s="42" t="str">
        <f ca="1">IF(emp_db[[#This Row],[Date of Birth]]&lt;&gt;"",(TODAY()-emp_db[[#This Row],[Date of Birth]])/365,"")</f>
        <v/>
      </c>
      <c r="S287" s="42">
        <f>YEAR(emp_db[[#This Row],[Column1]])</f>
        <v>1900</v>
      </c>
      <c r="T287" s="42">
        <f>MONTH(emp_db[[#This Row],[Column1]])</f>
        <v>1</v>
      </c>
      <c r="U287" s="42">
        <f>IFERROR(YEAR(emp_db[[#This Row],[Exit Date]]),"")</f>
        <v>1900</v>
      </c>
      <c r="V287" s="42">
        <f>IFERROR(MONTH(emp_db[[#This Row],[Exit Date]]),"")</f>
        <v>1</v>
      </c>
    </row>
    <row r="288" spans="2:22">
      <c r="B288" s="39"/>
      <c r="C288" s="39"/>
      <c r="D288" s="39"/>
      <c r="E288" s="39"/>
      <c r="F288" s="40"/>
      <c r="G288" s="38"/>
      <c r="H288" s="43"/>
      <c r="I288" s="43"/>
      <c r="J288" s="39"/>
      <c r="K288" s="38"/>
      <c r="L288" s="39"/>
      <c r="M288" s="39"/>
      <c r="N288" s="43"/>
      <c r="O288" s="38"/>
      <c r="P288" s="38"/>
      <c r="Q288" s="41" t="str">
        <f ca="1">IF(emp_db[[#This Row],[Exit Date]]&lt;&gt;"",(emp_db[[#This Row],[Exit Date]]-emp_db[[#This Row],[Column1]])/365,IF(emp_db[[#This Row],[ID]]&lt;&gt;"",(TODAY()-emp_db[[#This Row],[Column1]])/365,""))</f>
        <v/>
      </c>
      <c r="R288" s="42" t="str">
        <f ca="1">IF(emp_db[[#This Row],[Date of Birth]]&lt;&gt;"",(TODAY()-emp_db[[#This Row],[Date of Birth]])/365,"")</f>
        <v/>
      </c>
      <c r="S288" s="42">
        <f>YEAR(emp_db[[#This Row],[Column1]])</f>
        <v>1900</v>
      </c>
      <c r="T288" s="42">
        <f>MONTH(emp_db[[#This Row],[Column1]])</f>
        <v>1</v>
      </c>
      <c r="U288" s="42">
        <f>IFERROR(YEAR(emp_db[[#This Row],[Exit Date]]),"")</f>
        <v>1900</v>
      </c>
      <c r="V288" s="42">
        <f>IFERROR(MONTH(emp_db[[#This Row],[Exit Date]]),"")</f>
        <v>1</v>
      </c>
    </row>
    <row r="289" spans="2:22">
      <c r="B289" s="39"/>
      <c r="C289" s="39"/>
      <c r="D289" s="39"/>
      <c r="E289" s="39"/>
      <c r="F289" s="40"/>
      <c r="G289" s="38"/>
      <c r="H289" s="43"/>
      <c r="I289" s="43"/>
      <c r="J289" s="39"/>
      <c r="K289" s="38"/>
      <c r="L289" s="39"/>
      <c r="M289" s="39"/>
      <c r="N289" s="43"/>
      <c r="O289" s="38"/>
      <c r="P289" s="38"/>
      <c r="Q289" s="41" t="str">
        <f ca="1">IF(emp_db[[#This Row],[Exit Date]]&lt;&gt;"",(emp_db[[#This Row],[Exit Date]]-emp_db[[#This Row],[Column1]])/365,IF(emp_db[[#This Row],[ID]]&lt;&gt;"",(TODAY()-emp_db[[#This Row],[Column1]])/365,""))</f>
        <v/>
      </c>
      <c r="R289" s="42" t="str">
        <f ca="1">IF(emp_db[[#This Row],[Date of Birth]]&lt;&gt;"",(TODAY()-emp_db[[#This Row],[Date of Birth]])/365,"")</f>
        <v/>
      </c>
      <c r="S289" s="42">
        <f>YEAR(emp_db[[#This Row],[Column1]])</f>
        <v>1900</v>
      </c>
      <c r="T289" s="42">
        <f>MONTH(emp_db[[#This Row],[Column1]])</f>
        <v>1</v>
      </c>
      <c r="U289" s="42">
        <f>IFERROR(YEAR(emp_db[[#This Row],[Exit Date]]),"")</f>
        <v>1900</v>
      </c>
      <c r="V289" s="42">
        <f>IFERROR(MONTH(emp_db[[#This Row],[Exit Date]]),"")</f>
        <v>1</v>
      </c>
    </row>
    <row r="290" spans="2:22">
      <c r="B290" s="39"/>
      <c r="C290" s="39"/>
      <c r="D290" s="39"/>
      <c r="E290" s="39"/>
      <c r="F290" s="40"/>
      <c r="G290" s="38"/>
      <c r="H290" s="43"/>
      <c r="I290" s="43"/>
      <c r="J290" s="39"/>
      <c r="K290" s="38"/>
      <c r="L290" s="39"/>
      <c r="M290" s="39"/>
      <c r="N290" s="43"/>
      <c r="O290" s="38"/>
      <c r="P290" s="38"/>
      <c r="Q290" s="41" t="str">
        <f ca="1">IF(emp_db[[#This Row],[Exit Date]]&lt;&gt;"",(emp_db[[#This Row],[Exit Date]]-emp_db[[#This Row],[Column1]])/365,IF(emp_db[[#This Row],[ID]]&lt;&gt;"",(TODAY()-emp_db[[#This Row],[Column1]])/365,""))</f>
        <v/>
      </c>
      <c r="R290" s="42" t="str">
        <f ca="1">IF(emp_db[[#This Row],[Date of Birth]]&lt;&gt;"",(TODAY()-emp_db[[#This Row],[Date of Birth]])/365,"")</f>
        <v/>
      </c>
      <c r="S290" s="42">
        <f>YEAR(emp_db[[#This Row],[Column1]])</f>
        <v>1900</v>
      </c>
      <c r="T290" s="42">
        <f>MONTH(emp_db[[#This Row],[Column1]])</f>
        <v>1</v>
      </c>
      <c r="U290" s="42">
        <f>IFERROR(YEAR(emp_db[[#This Row],[Exit Date]]),"")</f>
        <v>1900</v>
      </c>
      <c r="V290" s="42">
        <f>IFERROR(MONTH(emp_db[[#This Row],[Exit Date]]),"")</f>
        <v>1</v>
      </c>
    </row>
    <row r="291" spans="2:22">
      <c r="B291" s="39"/>
      <c r="C291" s="39"/>
      <c r="D291" s="39"/>
      <c r="E291" s="39"/>
      <c r="F291" s="40"/>
      <c r="G291" s="38"/>
      <c r="H291" s="43"/>
      <c r="I291" s="43"/>
      <c r="J291" s="39"/>
      <c r="K291" s="38"/>
      <c r="L291" s="39"/>
      <c r="M291" s="39"/>
      <c r="N291" s="43"/>
      <c r="O291" s="38"/>
      <c r="P291" s="38"/>
      <c r="Q291" s="41" t="str">
        <f ca="1">IF(emp_db[[#This Row],[Exit Date]]&lt;&gt;"",(emp_db[[#This Row],[Exit Date]]-emp_db[[#This Row],[Column1]])/365,IF(emp_db[[#This Row],[ID]]&lt;&gt;"",(TODAY()-emp_db[[#This Row],[Column1]])/365,""))</f>
        <v/>
      </c>
      <c r="R291" s="42" t="str">
        <f ca="1">IF(emp_db[[#This Row],[Date of Birth]]&lt;&gt;"",(TODAY()-emp_db[[#This Row],[Date of Birth]])/365,"")</f>
        <v/>
      </c>
      <c r="S291" s="42">
        <f>YEAR(emp_db[[#This Row],[Column1]])</f>
        <v>1900</v>
      </c>
      <c r="T291" s="42">
        <f>MONTH(emp_db[[#This Row],[Column1]])</f>
        <v>1</v>
      </c>
      <c r="U291" s="42">
        <f>IFERROR(YEAR(emp_db[[#This Row],[Exit Date]]),"")</f>
        <v>1900</v>
      </c>
      <c r="V291" s="42">
        <f>IFERROR(MONTH(emp_db[[#This Row],[Exit Date]]),"")</f>
        <v>1</v>
      </c>
    </row>
    <row r="292" spans="2:22">
      <c r="B292" s="39"/>
      <c r="C292" s="39"/>
      <c r="D292" s="39"/>
      <c r="E292" s="39"/>
      <c r="F292" s="40"/>
      <c r="G292" s="38"/>
      <c r="H292" s="43"/>
      <c r="I292" s="43"/>
      <c r="J292" s="39"/>
      <c r="K292" s="38"/>
      <c r="L292" s="39"/>
      <c r="M292" s="39"/>
      <c r="N292" s="43"/>
      <c r="O292" s="38"/>
      <c r="P292" s="38"/>
      <c r="Q292" s="41" t="str">
        <f ca="1">IF(emp_db[[#This Row],[Exit Date]]&lt;&gt;"",(emp_db[[#This Row],[Exit Date]]-emp_db[[#This Row],[Column1]])/365,IF(emp_db[[#This Row],[ID]]&lt;&gt;"",(TODAY()-emp_db[[#This Row],[Column1]])/365,""))</f>
        <v/>
      </c>
      <c r="R292" s="42" t="str">
        <f ca="1">IF(emp_db[[#This Row],[Date of Birth]]&lt;&gt;"",(TODAY()-emp_db[[#This Row],[Date of Birth]])/365,"")</f>
        <v/>
      </c>
      <c r="S292" s="42">
        <f>YEAR(emp_db[[#This Row],[Column1]])</f>
        <v>1900</v>
      </c>
      <c r="T292" s="42">
        <f>MONTH(emp_db[[#This Row],[Column1]])</f>
        <v>1</v>
      </c>
      <c r="U292" s="42">
        <f>IFERROR(YEAR(emp_db[[#This Row],[Exit Date]]),"")</f>
        <v>1900</v>
      </c>
      <c r="V292" s="42">
        <f>IFERROR(MONTH(emp_db[[#This Row],[Exit Date]]),"")</f>
        <v>1</v>
      </c>
    </row>
    <row r="293" spans="2:22">
      <c r="B293" s="39"/>
      <c r="C293" s="39"/>
      <c r="D293" s="39"/>
      <c r="E293" s="39"/>
      <c r="F293" s="40"/>
      <c r="G293" s="38"/>
      <c r="H293" s="43"/>
      <c r="I293" s="43"/>
      <c r="J293" s="39"/>
      <c r="K293" s="38"/>
      <c r="L293" s="39"/>
      <c r="M293" s="39"/>
      <c r="N293" s="43"/>
      <c r="O293" s="38"/>
      <c r="P293" s="38"/>
      <c r="Q293" s="41" t="str">
        <f ca="1">IF(emp_db[[#This Row],[Exit Date]]&lt;&gt;"",(emp_db[[#This Row],[Exit Date]]-emp_db[[#This Row],[Column1]])/365,IF(emp_db[[#This Row],[ID]]&lt;&gt;"",(TODAY()-emp_db[[#This Row],[Column1]])/365,""))</f>
        <v/>
      </c>
      <c r="R293" s="42" t="str">
        <f ca="1">IF(emp_db[[#This Row],[Date of Birth]]&lt;&gt;"",(TODAY()-emp_db[[#This Row],[Date of Birth]])/365,"")</f>
        <v/>
      </c>
      <c r="S293" s="42">
        <f>YEAR(emp_db[[#This Row],[Column1]])</f>
        <v>1900</v>
      </c>
      <c r="T293" s="42">
        <f>MONTH(emp_db[[#This Row],[Column1]])</f>
        <v>1</v>
      </c>
      <c r="U293" s="42">
        <f>IFERROR(YEAR(emp_db[[#This Row],[Exit Date]]),"")</f>
        <v>1900</v>
      </c>
      <c r="V293" s="42">
        <f>IFERROR(MONTH(emp_db[[#This Row],[Exit Date]]),"")</f>
        <v>1</v>
      </c>
    </row>
    <row r="294" spans="2:22">
      <c r="B294" s="39"/>
      <c r="C294" s="39"/>
      <c r="D294" s="39"/>
      <c r="E294" s="39"/>
      <c r="F294" s="40"/>
      <c r="G294" s="38"/>
      <c r="H294" s="43"/>
      <c r="I294" s="43"/>
      <c r="J294" s="39"/>
      <c r="K294" s="38"/>
      <c r="L294" s="39"/>
      <c r="M294" s="39"/>
      <c r="N294" s="43"/>
      <c r="O294" s="38"/>
      <c r="P294" s="38"/>
      <c r="Q294" s="41" t="str">
        <f ca="1">IF(emp_db[[#This Row],[Exit Date]]&lt;&gt;"",(emp_db[[#This Row],[Exit Date]]-emp_db[[#This Row],[Column1]])/365,IF(emp_db[[#This Row],[ID]]&lt;&gt;"",(TODAY()-emp_db[[#This Row],[Column1]])/365,""))</f>
        <v/>
      </c>
      <c r="R294" s="42" t="str">
        <f ca="1">IF(emp_db[[#This Row],[Date of Birth]]&lt;&gt;"",(TODAY()-emp_db[[#This Row],[Date of Birth]])/365,"")</f>
        <v/>
      </c>
      <c r="S294" s="42">
        <f>YEAR(emp_db[[#This Row],[Column1]])</f>
        <v>1900</v>
      </c>
      <c r="T294" s="42">
        <f>MONTH(emp_db[[#This Row],[Column1]])</f>
        <v>1</v>
      </c>
      <c r="U294" s="42">
        <f>IFERROR(YEAR(emp_db[[#This Row],[Exit Date]]),"")</f>
        <v>1900</v>
      </c>
      <c r="V294" s="42">
        <f>IFERROR(MONTH(emp_db[[#This Row],[Exit Date]]),"")</f>
        <v>1</v>
      </c>
    </row>
    <row r="295" spans="2:22">
      <c r="B295" s="39"/>
      <c r="C295" s="39"/>
      <c r="D295" s="39"/>
      <c r="E295" s="39"/>
      <c r="F295" s="40"/>
      <c r="G295" s="38"/>
      <c r="H295" s="43"/>
      <c r="I295" s="43"/>
      <c r="J295" s="39"/>
      <c r="K295" s="38"/>
      <c r="L295" s="39"/>
      <c r="M295" s="39"/>
      <c r="N295" s="43"/>
      <c r="O295" s="38"/>
      <c r="P295" s="38"/>
      <c r="Q295" s="41" t="str">
        <f ca="1">IF(emp_db[[#This Row],[Exit Date]]&lt;&gt;"",(emp_db[[#This Row],[Exit Date]]-emp_db[[#This Row],[Column1]])/365,IF(emp_db[[#This Row],[ID]]&lt;&gt;"",(TODAY()-emp_db[[#This Row],[Column1]])/365,""))</f>
        <v/>
      </c>
      <c r="R295" s="42" t="str">
        <f ca="1">IF(emp_db[[#This Row],[Date of Birth]]&lt;&gt;"",(TODAY()-emp_db[[#This Row],[Date of Birth]])/365,"")</f>
        <v/>
      </c>
      <c r="S295" s="42">
        <f>YEAR(emp_db[[#This Row],[Column1]])</f>
        <v>1900</v>
      </c>
      <c r="T295" s="42">
        <f>MONTH(emp_db[[#This Row],[Column1]])</f>
        <v>1</v>
      </c>
      <c r="U295" s="42">
        <f>IFERROR(YEAR(emp_db[[#This Row],[Exit Date]]),"")</f>
        <v>1900</v>
      </c>
      <c r="V295" s="42">
        <f>IFERROR(MONTH(emp_db[[#This Row],[Exit Date]]),"")</f>
        <v>1</v>
      </c>
    </row>
    <row r="296" spans="2:22">
      <c r="B296" s="39"/>
      <c r="C296" s="39"/>
      <c r="D296" s="39"/>
      <c r="E296" s="39"/>
      <c r="F296" s="40"/>
      <c r="G296" s="38"/>
      <c r="H296" s="43"/>
      <c r="I296" s="43"/>
      <c r="J296" s="39"/>
      <c r="K296" s="38"/>
      <c r="L296" s="39"/>
      <c r="M296" s="39"/>
      <c r="N296" s="43"/>
      <c r="O296" s="38"/>
      <c r="P296" s="38"/>
      <c r="Q296" s="41" t="str">
        <f ca="1">IF(emp_db[[#This Row],[Exit Date]]&lt;&gt;"",(emp_db[[#This Row],[Exit Date]]-emp_db[[#This Row],[Column1]])/365,IF(emp_db[[#This Row],[ID]]&lt;&gt;"",(TODAY()-emp_db[[#This Row],[Column1]])/365,""))</f>
        <v/>
      </c>
      <c r="R296" s="42" t="str">
        <f ca="1">IF(emp_db[[#This Row],[Date of Birth]]&lt;&gt;"",(TODAY()-emp_db[[#This Row],[Date of Birth]])/365,"")</f>
        <v/>
      </c>
      <c r="S296" s="42">
        <f>YEAR(emp_db[[#This Row],[Column1]])</f>
        <v>1900</v>
      </c>
      <c r="T296" s="42">
        <f>MONTH(emp_db[[#This Row],[Column1]])</f>
        <v>1</v>
      </c>
      <c r="U296" s="42">
        <f>IFERROR(YEAR(emp_db[[#This Row],[Exit Date]]),"")</f>
        <v>1900</v>
      </c>
      <c r="V296" s="42">
        <f>IFERROR(MONTH(emp_db[[#This Row],[Exit Date]]),"")</f>
        <v>1</v>
      </c>
    </row>
    <row r="297" spans="2:22">
      <c r="B297" s="39"/>
      <c r="C297" s="39"/>
      <c r="D297" s="39"/>
      <c r="E297" s="39"/>
      <c r="F297" s="40"/>
      <c r="G297" s="38"/>
      <c r="H297" s="43"/>
      <c r="I297" s="43"/>
      <c r="J297" s="39"/>
      <c r="K297" s="38"/>
      <c r="L297" s="39"/>
      <c r="M297" s="39"/>
      <c r="N297" s="43"/>
      <c r="O297" s="38"/>
      <c r="P297" s="38"/>
      <c r="Q297" s="41" t="str">
        <f ca="1">IF(emp_db[[#This Row],[Exit Date]]&lt;&gt;"",(emp_db[[#This Row],[Exit Date]]-emp_db[[#This Row],[Column1]])/365,IF(emp_db[[#This Row],[ID]]&lt;&gt;"",(TODAY()-emp_db[[#This Row],[Column1]])/365,""))</f>
        <v/>
      </c>
      <c r="R297" s="42" t="str">
        <f ca="1">IF(emp_db[[#This Row],[Date of Birth]]&lt;&gt;"",(TODAY()-emp_db[[#This Row],[Date of Birth]])/365,"")</f>
        <v/>
      </c>
      <c r="S297" s="42">
        <f>YEAR(emp_db[[#This Row],[Column1]])</f>
        <v>1900</v>
      </c>
      <c r="T297" s="42">
        <f>MONTH(emp_db[[#This Row],[Column1]])</f>
        <v>1</v>
      </c>
      <c r="U297" s="42">
        <f>IFERROR(YEAR(emp_db[[#This Row],[Exit Date]]),"")</f>
        <v>1900</v>
      </c>
      <c r="V297" s="42">
        <f>IFERROR(MONTH(emp_db[[#This Row],[Exit Date]]),"")</f>
        <v>1</v>
      </c>
    </row>
    <row r="298" spans="2:22">
      <c r="B298" s="39"/>
      <c r="C298" s="39"/>
      <c r="D298" s="39"/>
      <c r="E298" s="39"/>
      <c r="F298" s="40"/>
      <c r="G298" s="38"/>
      <c r="H298" s="43"/>
      <c r="I298" s="43"/>
      <c r="J298" s="39"/>
      <c r="K298" s="38"/>
      <c r="L298" s="39"/>
      <c r="M298" s="39"/>
      <c r="N298" s="43"/>
      <c r="O298" s="38"/>
      <c r="P298" s="38"/>
      <c r="Q298" s="41" t="str">
        <f ca="1">IF(emp_db[[#This Row],[Exit Date]]&lt;&gt;"",(emp_db[[#This Row],[Exit Date]]-emp_db[[#This Row],[Column1]])/365,IF(emp_db[[#This Row],[ID]]&lt;&gt;"",(TODAY()-emp_db[[#This Row],[Column1]])/365,""))</f>
        <v/>
      </c>
      <c r="R298" s="42" t="str">
        <f ca="1">IF(emp_db[[#This Row],[Date of Birth]]&lt;&gt;"",(TODAY()-emp_db[[#This Row],[Date of Birth]])/365,"")</f>
        <v/>
      </c>
      <c r="S298" s="42">
        <f>YEAR(emp_db[[#This Row],[Column1]])</f>
        <v>1900</v>
      </c>
      <c r="T298" s="42">
        <f>MONTH(emp_db[[#This Row],[Column1]])</f>
        <v>1</v>
      </c>
      <c r="U298" s="42">
        <f>IFERROR(YEAR(emp_db[[#This Row],[Exit Date]]),"")</f>
        <v>1900</v>
      </c>
      <c r="V298" s="42">
        <f>IFERROR(MONTH(emp_db[[#This Row],[Exit Date]]),"")</f>
        <v>1</v>
      </c>
    </row>
    <row r="299" spans="2:22">
      <c r="B299" s="39"/>
      <c r="C299" s="39"/>
      <c r="D299" s="39"/>
      <c r="E299" s="39"/>
      <c r="F299" s="40"/>
      <c r="G299" s="38"/>
      <c r="H299" s="43"/>
      <c r="I299" s="43"/>
      <c r="J299" s="39"/>
      <c r="K299" s="38"/>
      <c r="L299" s="39"/>
      <c r="M299" s="39"/>
      <c r="N299" s="43"/>
      <c r="O299" s="38"/>
      <c r="P299" s="38"/>
      <c r="Q299" s="41" t="str">
        <f ca="1">IF(emp_db[[#This Row],[Exit Date]]&lt;&gt;"",(emp_db[[#This Row],[Exit Date]]-emp_db[[#This Row],[Column1]])/365,IF(emp_db[[#This Row],[ID]]&lt;&gt;"",(TODAY()-emp_db[[#This Row],[Column1]])/365,""))</f>
        <v/>
      </c>
      <c r="R299" s="42" t="str">
        <f ca="1">IF(emp_db[[#This Row],[Date of Birth]]&lt;&gt;"",(TODAY()-emp_db[[#This Row],[Date of Birth]])/365,"")</f>
        <v/>
      </c>
      <c r="S299" s="42">
        <f>YEAR(emp_db[[#This Row],[Column1]])</f>
        <v>1900</v>
      </c>
      <c r="T299" s="42">
        <f>MONTH(emp_db[[#This Row],[Column1]])</f>
        <v>1</v>
      </c>
      <c r="U299" s="42">
        <f>IFERROR(YEAR(emp_db[[#This Row],[Exit Date]]),"")</f>
        <v>1900</v>
      </c>
      <c r="V299" s="42">
        <f>IFERROR(MONTH(emp_db[[#This Row],[Exit Date]]),"")</f>
        <v>1</v>
      </c>
    </row>
    <row r="300" spans="2:22">
      <c r="B300" s="39"/>
      <c r="C300" s="39"/>
      <c r="D300" s="39"/>
      <c r="E300" s="39"/>
      <c r="F300" s="40"/>
      <c r="G300" s="38"/>
      <c r="H300" s="43"/>
      <c r="I300" s="43"/>
      <c r="J300" s="39"/>
      <c r="K300" s="38"/>
      <c r="L300" s="39"/>
      <c r="M300" s="39"/>
      <c r="N300" s="43"/>
      <c r="O300" s="38"/>
      <c r="P300" s="38"/>
      <c r="Q300" s="41" t="str">
        <f ca="1">IF(emp_db[[#This Row],[Exit Date]]&lt;&gt;"",(emp_db[[#This Row],[Exit Date]]-emp_db[[#This Row],[Column1]])/365,IF(emp_db[[#This Row],[ID]]&lt;&gt;"",(TODAY()-emp_db[[#This Row],[Column1]])/365,""))</f>
        <v/>
      </c>
      <c r="R300" s="42" t="str">
        <f ca="1">IF(emp_db[[#This Row],[Date of Birth]]&lt;&gt;"",(TODAY()-emp_db[[#This Row],[Date of Birth]])/365,"")</f>
        <v/>
      </c>
      <c r="S300" s="42">
        <f>YEAR(emp_db[[#This Row],[Column1]])</f>
        <v>1900</v>
      </c>
      <c r="T300" s="42">
        <f>MONTH(emp_db[[#This Row],[Column1]])</f>
        <v>1</v>
      </c>
      <c r="U300" s="42">
        <f>IFERROR(YEAR(emp_db[[#This Row],[Exit Date]]),"")</f>
        <v>1900</v>
      </c>
      <c r="V300" s="42">
        <f>IFERROR(MONTH(emp_db[[#This Row],[Exit Date]]),"")</f>
        <v>1</v>
      </c>
    </row>
    <row r="301" spans="2:22">
      <c r="B301" s="39"/>
      <c r="C301" s="39"/>
      <c r="D301" s="39"/>
      <c r="E301" s="39"/>
      <c r="F301" s="40"/>
      <c r="G301" s="38"/>
      <c r="H301" s="43"/>
      <c r="I301" s="43"/>
      <c r="J301" s="39"/>
      <c r="K301" s="38"/>
      <c r="L301" s="39"/>
      <c r="M301" s="39"/>
      <c r="N301" s="43"/>
      <c r="O301" s="38"/>
      <c r="P301" s="38"/>
      <c r="Q301" s="41" t="str">
        <f ca="1">IF(emp_db[[#This Row],[Exit Date]]&lt;&gt;"",(emp_db[[#This Row],[Exit Date]]-emp_db[[#This Row],[Column1]])/365,IF(emp_db[[#This Row],[ID]]&lt;&gt;"",(TODAY()-emp_db[[#This Row],[Column1]])/365,""))</f>
        <v/>
      </c>
      <c r="R301" s="42" t="str">
        <f ca="1">IF(emp_db[[#This Row],[Date of Birth]]&lt;&gt;"",(TODAY()-emp_db[[#This Row],[Date of Birth]])/365,"")</f>
        <v/>
      </c>
      <c r="S301" s="42">
        <f>YEAR(emp_db[[#This Row],[Column1]])</f>
        <v>1900</v>
      </c>
      <c r="T301" s="42">
        <f>MONTH(emp_db[[#This Row],[Column1]])</f>
        <v>1</v>
      </c>
      <c r="U301" s="42">
        <f>IFERROR(YEAR(emp_db[[#This Row],[Exit Date]]),"")</f>
        <v>1900</v>
      </c>
      <c r="V301" s="42">
        <f>IFERROR(MONTH(emp_db[[#This Row],[Exit Date]]),"")</f>
        <v>1</v>
      </c>
    </row>
    <row r="302" spans="2:22">
      <c r="B302" s="39"/>
      <c r="C302" s="39"/>
      <c r="D302" s="39"/>
      <c r="E302" s="39"/>
      <c r="F302" s="40"/>
      <c r="G302" s="38"/>
      <c r="H302" s="43"/>
      <c r="I302" s="43"/>
      <c r="J302" s="39"/>
      <c r="K302" s="38"/>
      <c r="L302" s="39"/>
      <c r="M302" s="39"/>
      <c r="N302" s="43"/>
      <c r="O302" s="38"/>
      <c r="P302" s="38"/>
      <c r="Q302" s="41" t="str">
        <f ca="1">IF(emp_db[[#This Row],[Exit Date]]&lt;&gt;"",(emp_db[[#This Row],[Exit Date]]-emp_db[[#This Row],[Column1]])/365,IF(emp_db[[#This Row],[ID]]&lt;&gt;"",(TODAY()-emp_db[[#This Row],[Column1]])/365,""))</f>
        <v/>
      </c>
      <c r="R302" s="42" t="str">
        <f ca="1">IF(emp_db[[#This Row],[Date of Birth]]&lt;&gt;"",(TODAY()-emp_db[[#This Row],[Date of Birth]])/365,"")</f>
        <v/>
      </c>
      <c r="S302" s="42">
        <f>YEAR(emp_db[[#This Row],[Column1]])</f>
        <v>1900</v>
      </c>
      <c r="T302" s="42">
        <f>MONTH(emp_db[[#This Row],[Column1]])</f>
        <v>1</v>
      </c>
      <c r="U302" s="42">
        <f>IFERROR(YEAR(emp_db[[#This Row],[Exit Date]]),"")</f>
        <v>1900</v>
      </c>
      <c r="V302" s="42">
        <f>IFERROR(MONTH(emp_db[[#This Row],[Exit Date]]),"")</f>
        <v>1</v>
      </c>
    </row>
    <row r="303" spans="2:22">
      <c r="B303" s="39"/>
      <c r="C303" s="39"/>
      <c r="D303" s="39"/>
      <c r="E303" s="39"/>
      <c r="F303" s="40"/>
      <c r="G303" s="38"/>
      <c r="H303" s="43"/>
      <c r="I303" s="43"/>
      <c r="J303" s="39"/>
      <c r="K303" s="38"/>
      <c r="L303" s="39"/>
      <c r="M303" s="39"/>
      <c r="N303" s="43"/>
      <c r="O303" s="38"/>
      <c r="P303" s="38"/>
      <c r="Q303" s="41" t="str">
        <f ca="1">IF(emp_db[[#This Row],[Exit Date]]&lt;&gt;"",(emp_db[[#This Row],[Exit Date]]-emp_db[[#This Row],[Column1]])/365,IF(emp_db[[#This Row],[ID]]&lt;&gt;"",(TODAY()-emp_db[[#This Row],[Column1]])/365,""))</f>
        <v/>
      </c>
      <c r="R303" s="42" t="str">
        <f ca="1">IF(emp_db[[#This Row],[Date of Birth]]&lt;&gt;"",(TODAY()-emp_db[[#This Row],[Date of Birth]])/365,"")</f>
        <v/>
      </c>
      <c r="S303" s="42">
        <f>YEAR(emp_db[[#This Row],[Column1]])</f>
        <v>1900</v>
      </c>
      <c r="T303" s="42">
        <f>MONTH(emp_db[[#This Row],[Column1]])</f>
        <v>1</v>
      </c>
      <c r="U303" s="42">
        <f>IFERROR(YEAR(emp_db[[#This Row],[Exit Date]]),"")</f>
        <v>1900</v>
      </c>
      <c r="V303" s="42">
        <f>IFERROR(MONTH(emp_db[[#This Row],[Exit Date]]),"")</f>
        <v>1</v>
      </c>
    </row>
    <row r="304" spans="2:22">
      <c r="B304" s="39"/>
      <c r="C304" s="39"/>
      <c r="D304" s="39"/>
      <c r="E304" s="39"/>
      <c r="F304" s="40"/>
      <c r="G304" s="38"/>
      <c r="H304" s="43"/>
      <c r="I304" s="43"/>
      <c r="J304" s="39"/>
      <c r="K304" s="38"/>
      <c r="L304" s="39"/>
      <c r="M304" s="39"/>
      <c r="N304" s="43"/>
      <c r="O304" s="38"/>
      <c r="P304" s="38"/>
      <c r="Q304" s="41" t="str">
        <f ca="1">IF(emp_db[[#This Row],[Exit Date]]&lt;&gt;"",(emp_db[[#This Row],[Exit Date]]-emp_db[[#This Row],[Column1]])/365,IF(emp_db[[#This Row],[ID]]&lt;&gt;"",(TODAY()-emp_db[[#This Row],[Column1]])/365,""))</f>
        <v/>
      </c>
      <c r="R304" s="42" t="str">
        <f ca="1">IF(emp_db[[#This Row],[Date of Birth]]&lt;&gt;"",(TODAY()-emp_db[[#This Row],[Date of Birth]])/365,"")</f>
        <v/>
      </c>
      <c r="S304" s="42">
        <f>YEAR(emp_db[[#This Row],[Column1]])</f>
        <v>1900</v>
      </c>
      <c r="T304" s="42">
        <f>MONTH(emp_db[[#This Row],[Column1]])</f>
        <v>1</v>
      </c>
      <c r="U304" s="42">
        <f>IFERROR(YEAR(emp_db[[#This Row],[Exit Date]]),"")</f>
        <v>1900</v>
      </c>
      <c r="V304" s="42">
        <f>IFERROR(MONTH(emp_db[[#This Row],[Exit Date]]),"")</f>
        <v>1</v>
      </c>
    </row>
    <row r="305" spans="2:22">
      <c r="B305" s="39"/>
      <c r="C305" s="39"/>
      <c r="D305" s="39"/>
      <c r="E305" s="39"/>
      <c r="F305" s="40"/>
      <c r="G305" s="38"/>
      <c r="H305" s="43"/>
      <c r="I305" s="43"/>
      <c r="J305" s="39"/>
      <c r="K305" s="38"/>
      <c r="L305" s="39"/>
      <c r="M305" s="39"/>
      <c r="N305" s="43"/>
      <c r="O305" s="38"/>
      <c r="P305" s="38"/>
      <c r="Q305" s="41" t="str">
        <f ca="1">IF(emp_db[[#This Row],[Exit Date]]&lt;&gt;"",(emp_db[[#This Row],[Exit Date]]-emp_db[[#This Row],[Column1]])/365,IF(emp_db[[#This Row],[ID]]&lt;&gt;"",(TODAY()-emp_db[[#This Row],[Column1]])/365,""))</f>
        <v/>
      </c>
      <c r="R305" s="42" t="str">
        <f ca="1">IF(emp_db[[#This Row],[Date of Birth]]&lt;&gt;"",(TODAY()-emp_db[[#This Row],[Date of Birth]])/365,"")</f>
        <v/>
      </c>
      <c r="S305" s="42">
        <f>YEAR(emp_db[[#This Row],[Column1]])</f>
        <v>1900</v>
      </c>
      <c r="T305" s="42">
        <f>MONTH(emp_db[[#This Row],[Column1]])</f>
        <v>1</v>
      </c>
      <c r="U305" s="42">
        <f>IFERROR(YEAR(emp_db[[#This Row],[Exit Date]]),"")</f>
        <v>1900</v>
      </c>
      <c r="V305" s="42">
        <f>IFERROR(MONTH(emp_db[[#This Row],[Exit Date]]),"")</f>
        <v>1</v>
      </c>
    </row>
    <row r="306" spans="2:22">
      <c r="B306" s="39"/>
      <c r="C306" s="39"/>
      <c r="D306" s="39"/>
      <c r="E306" s="39"/>
      <c r="F306" s="40"/>
      <c r="G306" s="38"/>
      <c r="H306" s="43"/>
      <c r="I306" s="43"/>
      <c r="J306" s="39"/>
      <c r="K306" s="38"/>
      <c r="L306" s="39"/>
      <c r="M306" s="39"/>
      <c r="N306" s="43"/>
      <c r="O306" s="38"/>
      <c r="P306" s="38"/>
      <c r="Q306" s="41" t="str">
        <f ca="1">IF(emp_db[[#This Row],[Exit Date]]&lt;&gt;"",(emp_db[[#This Row],[Exit Date]]-emp_db[[#This Row],[Column1]])/365,IF(emp_db[[#This Row],[ID]]&lt;&gt;"",(TODAY()-emp_db[[#This Row],[Column1]])/365,""))</f>
        <v/>
      </c>
      <c r="R306" s="42" t="str">
        <f ca="1">IF(emp_db[[#This Row],[Date of Birth]]&lt;&gt;"",(TODAY()-emp_db[[#This Row],[Date of Birth]])/365,"")</f>
        <v/>
      </c>
      <c r="S306" s="42">
        <f>YEAR(emp_db[[#This Row],[Column1]])</f>
        <v>1900</v>
      </c>
      <c r="T306" s="42">
        <f>MONTH(emp_db[[#This Row],[Column1]])</f>
        <v>1</v>
      </c>
      <c r="U306" s="42">
        <f>IFERROR(YEAR(emp_db[[#This Row],[Exit Date]]),"")</f>
        <v>1900</v>
      </c>
      <c r="V306" s="42">
        <f>IFERROR(MONTH(emp_db[[#This Row],[Exit Date]]),"")</f>
        <v>1</v>
      </c>
    </row>
    <row r="307" spans="2:22">
      <c r="B307" s="39"/>
      <c r="C307" s="39"/>
      <c r="D307" s="39"/>
      <c r="E307" s="39"/>
      <c r="F307" s="40"/>
      <c r="G307" s="38"/>
      <c r="H307" s="43"/>
      <c r="I307" s="43"/>
      <c r="J307" s="39"/>
      <c r="K307" s="38"/>
      <c r="L307" s="39"/>
      <c r="M307" s="39"/>
      <c r="N307" s="43"/>
      <c r="O307" s="38"/>
      <c r="P307" s="38"/>
      <c r="Q307" s="41" t="str">
        <f ca="1">IF(emp_db[[#This Row],[Exit Date]]&lt;&gt;"",(emp_db[[#This Row],[Exit Date]]-emp_db[[#This Row],[Column1]])/365,IF(emp_db[[#This Row],[ID]]&lt;&gt;"",(TODAY()-emp_db[[#This Row],[Column1]])/365,""))</f>
        <v/>
      </c>
      <c r="R307" s="42" t="str">
        <f ca="1">IF(emp_db[[#This Row],[Date of Birth]]&lt;&gt;"",(TODAY()-emp_db[[#This Row],[Date of Birth]])/365,"")</f>
        <v/>
      </c>
      <c r="S307" s="42">
        <f>YEAR(emp_db[[#This Row],[Column1]])</f>
        <v>1900</v>
      </c>
      <c r="T307" s="42">
        <f>MONTH(emp_db[[#This Row],[Column1]])</f>
        <v>1</v>
      </c>
      <c r="U307" s="42">
        <f>IFERROR(YEAR(emp_db[[#This Row],[Exit Date]]),"")</f>
        <v>1900</v>
      </c>
      <c r="V307" s="42">
        <f>IFERROR(MONTH(emp_db[[#This Row],[Exit Date]]),"")</f>
        <v>1</v>
      </c>
    </row>
    <row r="308" spans="2:22">
      <c r="B308" s="39"/>
      <c r="C308" s="39"/>
      <c r="D308" s="39"/>
      <c r="E308" s="39"/>
      <c r="F308" s="40"/>
      <c r="G308" s="38"/>
      <c r="H308" s="43"/>
      <c r="I308" s="43"/>
      <c r="J308" s="39"/>
      <c r="K308" s="38"/>
      <c r="L308" s="39"/>
      <c r="M308" s="39"/>
      <c r="N308" s="43"/>
      <c r="O308" s="38"/>
      <c r="P308" s="38"/>
      <c r="Q308" s="41" t="str">
        <f ca="1">IF(emp_db[[#This Row],[Exit Date]]&lt;&gt;"",(emp_db[[#This Row],[Exit Date]]-emp_db[[#This Row],[Column1]])/365,IF(emp_db[[#This Row],[ID]]&lt;&gt;"",(TODAY()-emp_db[[#This Row],[Column1]])/365,""))</f>
        <v/>
      </c>
      <c r="R308" s="42" t="str">
        <f ca="1">IF(emp_db[[#This Row],[Date of Birth]]&lt;&gt;"",(TODAY()-emp_db[[#This Row],[Date of Birth]])/365,"")</f>
        <v/>
      </c>
      <c r="S308" s="42">
        <f>YEAR(emp_db[[#This Row],[Column1]])</f>
        <v>1900</v>
      </c>
      <c r="T308" s="42">
        <f>MONTH(emp_db[[#This Row],[Column1]])</f>
        <v>1</v>
      </c>
      <c r="U308" s="42">
        <f>IFERROR(YEAR(emp_db[[#This Row],[Exit Date]]),"")</f>
        <v>1900</v>
      </c>
      <c r="V308" s="42">
        <f>IFERROR(MONTH(emp_db[[#This Row],[Exit Date]]),"")</f>
        <v>1</v>
      </c>
    </row>
    <row r="309" spans="2:22">
      <c r="B309" s="39"/>
      <c r="C309" s="39"/>
      <c r="D309" s="39"/>
      <c r="E309" s="39"/>
      <c r="F309" s="40"/>
      <c r="G309" s="38"/>
      <c r="H309" s="43"/>
      <c r="I309" s="43"/>
      <c r="J309" s="39"/>
      <c r="K309" s="38"/>
      <c r="L309" s="39"/>
      <c r="M309" s="39"/>
      <c r="N309" s="43"/>
      <c r="O309" s="38"/>
      <c r="P309" s="38"/>
      <c r="Q309" s="41" t="str">
        <f ca="1">IF(emp_db[[#This Row],[Exit Date]]&lt;&gt;"",(emp_db[[#This Row],[Exit Date]]-emp_db[[#This Row],[Column1]])/365,IF(emp_db[[#This Row],[ID]]&lt;&gt;"",(TODAY()-emp_db[[#This Row],[Column1]])/365,""))</f>
        <v/>
      </c>
      <c r="R309" s="42" t="str">
        <f ca="1">IF(emp_db[[#This Row],[Date of Birth]]&lt;&gt;"",(TODAY()-emp_db[[#This Row],[Date of Birth]])/365,"")</f>
        <v/>
      </c>
      <c r="S309" s="42">
        <f>YEAR(emp_db[[#This Row],[Column1]])</f>
        <v>1900</v>
      </c>
      <c r="T309" s="42">
        <f>MONTH(emp_db[[#This Row],[Column1]])</f>
        <v>1</v>
      </c>
      <c r="U309" s="42">
        <f>IFERROR(YEAR(emp_db[[#This Row],[Exit Date]]),"")</f>
        <v>1900</v>
      </c>
      <c r="V309" s="42">
        <f>IFERROR(MONTH(emp_db[[#This Row],[Exit Date]]),"")</f>
        <v>1</v>
      </c>
    </row>
    <row r="310" spans="2:22">
      <c r="B310" s="39"/>
      <c r="C310" s="39"/>
      <c r="D310" s="39"/>
      <c r="E310" s="39"/>
      <c r="F310" s="40"/>
      <c r="G310" s="38"/>
      <c r="H310" s="43"/>
      <c r="I310" s="43"/>
      <c r="J310" s="39"/>
      <c r="K310" s="38"/>
      <c r="L310" s="39"/>
      <c r="M310" s="39"/>
      <c r="N310" s="43"/>
      <c r="O310" s="38"/>
      <c r="P310" s="38"/>
      <c r="Q310" s="41" t="str">
        <f ca="1">IF(emp_db[[#This Row],[Exit Date]]&lt;&gt;"",(emp_db[[#This Row],[Exit Date]]-emp_db[[#This Row],[Column1]])/365,IF(emp_db[[#This Row],[ID]]&lt;&gt;"",(TODAY()-emp_db[[#This Row],[Column1]])/365,""))</f>
        <v/>
      </c>
      <c r="R310" s="42" t="str">
        <f ca="1">IF(emp_db[[#This Row],[Date of Birth]]&lt;&gt;"",(TODAY()-emp_db[[#This Row],[Date of Birth]])/365,"")</f>
        <v/>
      </c>
      <c r="S310" s="42">
        <f>YEAR(emp_db[[#This Row],[Column1]])</f>
        <v>1900</v>
      </c>
      <c r="T310" s="42">
        <f>MONTH(emp_db[[#This Row],[Column1]])</f>
        <v>1</v>
      </c>
      <c r="U310" s="42">
        <f>IFERROR(YEAR(emp_db[[#This Row],[Exit Date]]),"")</f>
        <v>1900</v>
      </c>
      <c r="V310" s="42">
        <f>IFERROR(MONTH(emp_db[[#This Row],[Exit Date]]),"")</f>
        <v>1</v>
      </c>
    </row>
    <row r="311" spans="2:22">
      <c r="B311" s="39"/>
      <c r="C311" s="39"/>
      <c r="D311" s="39"/>
      <c r="E311" s="39"/>
      <c r="F311" s="40"/>
      <c r="G311" s="38"/>
      <c r="H311" s="43"/>
      <c r="I311" s="43"/>
      <c r="J311" s="39"/>
      <c r="K311" s="38"/>
      <c r="L311" s="39"/>
      <c r="M311" s="39"/>
      <c r="N311" s="43"/>
      <c r="O311" s="38"/>
      <c r="P311" s="38"/>
      <c r="Q311" s="41" t="str">
        <f ca="1">IF(emp_db[[#This Row],[Exit Date]]&lt;&gt;"",(emp_db[[#This Row],[Exit Date]]-emp_db[[#This Row],[Column1]])/365,IF(emp_db[[#This Row],[ID]]&lt;&gt;"",(TODAY()-emp_db[[#This Row],[Column1]])/365,""))</f>
        <v/>
      </c>
      <c r="R311" s="42" t="str">
        <f ca="1">IF(emp_db[[#This Row],[Date of Birth]]&lt;&gt;"",(TODAY()-emp_db[[#This Row],[Date of Birth]])/365,"")</f>
        <v/>
      </c>
      <c r="S311" s="42">
        <f>YEAR(emp_db[[#This Row],[Column1]])</f>
        <v>1900</v>
      </c>
      <c r="T311" s="42">
        <f>MONTH(emp_db[[#This Row],[Column1]])</f>
        <v>1</v>
      </c>
      <c r="U311" s="42">
        <f>IFERROR(YEAR(emp_db[[#This Row],[Exit Date]]),"")</f>
        <v>1900</v>
      </c>
      <c r="V311" s="42">
        <f>IFERROR(MONTH(emp_db[[#This Row],[Exit Date]]),"")</f>
        <v>1</v>
      </c>
    </row>
    <row r="312" spans="2:22">
      <c r="B312" s="39"/>
      <c r="C312" s="39"/>
      <c r="D312" s="39"/>
      <c r="E312" s="39"/>
      <c r="F312" s="40"/>
      <c r="G312" s="38"/>
      <c r="H312" s="43"/>
      <c r="I312" s="43"/>
      <c r="J312" s="39"/>
      <c r="K312" s="38"/>
      <c r="L312" s="39"/>
      <c r="M312" s="39"/>
      <c r="N312" s="43"/>
      <c r="O312" s="38"/>
      <c r="P312" s="38"/>
      <c r="Q312" s="41" t="str">
        <f ca="1">IF(emp_db[[#This Row],[Exit Date]]&lt;&gt;"",(emp_db[[#This Row],[Exit Date]]-emp_db[[#This Row],[Column1]])/365,IF(emp_db[[#This Row],[ID]]&lt;&gt;"",(TODAY()-emp_db[[#This Row],[Column1]])/365,""))</f>
        <v/>
      </c>
      <c r="R312" s="42" t="str">
        <f ca="1">IF(emp_db[[#This Row],[Date of Birth]]&lt;&gt;"",(TODAY()-emp_db[[#This Row],[Date of Birth]])/365,"")</f>
        <v/>
      </c>
      <c r="S312" s="42">
        <f>YEAR(emp_db[[#This Row],[Column1]])</f>
        <v>1900</v>
      </c>
      <c r="T312" s="42">
        <f>MONTH(emp_db[[#This Row],[Column1]])</f>
        <v>1</v>
      </c>
      <c r="U312" s="42">
        <f>IFERROR(YEAR(emp_db[[#This Row],[Exit Date]]),"")</f>
        <v>1900</v>
      </c>
      <c r="V312" s="42">
        <f>IFERROR(MONTH(emp_db[[#This Row],[Exit Date]]),"")</f>
        <v>1</v>
      </c>
    </row>
    <row r="313" spans="2:22">
      <c r="B313" s="39"/>
      <c r="C313" s="39"/>
      <c r="D313" s="39"/>
      <c r="E313" s="39"/>
      <c r="F313" s="40"/>
      <c r="G313" s="38"/>
      <c r="H313" s="43"/>
      <c r="I313" s="43"/>
      <c r="J313" s="39"/>
      <c r="K313" s="38"/>
      <c r="L313" s="39"/>
      <c r="M313" s="39"/>
      <c r="N313" s="43"/>
      <c r="O313" s="38"/>
      <c r="P313" s="38"/>
      <c r="Q313" s="41" t="str">
        <f ca="1">IF(emp_db[[#This Row],[Exit Date]]&lt;&gt;"",(emp_db[[#This Row],[Exit Date]]-emp_db[[#This Row],[Column1]])/365,IF(emp_db[[#This Row],[ID]]&lt;&gt;"",(TODAY()-emp_db[[#This Row],[Column1]])/365,""))</f>
        <v/>
      </c>
      <c r="R313" s="42" t="str">
        <f ca="1">IF(emp_db[[#This Row],[Date of Birth]]&lt;&gt;"",(TODAY()-emp_db[[#This Row],[Date of Birth]])/365,"")</f>
        <v/>
      </c>
      <c r="S313" s="42">
        <f>YEAR(emp_db[[#This Row],[Column1]])</f>
        <v>1900</v>
      </c>
      <c r="T313" s="42">
        <f>MONTH(emp_db[[#This Row],[Column1]])</f>
        <v>1</v>
      </c>
      <c r="U313" s="42">
        <f>IFERROR(YEAR(emp_db[[#This Row],[Exit Date]]),"")</f>
        <v>1900</v>
      </c>
      <c r="V313" s="42">
        <f>IFERROR(MONTH(emp_db[[#This Row],[Exit Date]]),"")</f>
        <v>1</v>
      </c>
    </row>
    <row r="314" spans="2:22">
      <c r="B314" s="39"/>
      <c r="C314" s="39"/>
      <c r="D314" s="39"/>
      <c r="E314" s="39"/>
      <c r="F314" s="40"/>
      <c r="G314" s="38"/>
      <c r="H314" s="43"/>
      <c r="I314" s="43"/>
      <c r="J314" s="39"/>
      <c r="K314" s="38"/>
      <c r="L314" s="39"/>
      <c r="M314" s="39"/>
      <c r="N314" s="43"/>
      <c r="O314" s="38"/>
      <c r="P314" s="38"/>
      <c r="Q314" s="41" t="str">
        <f ca="1">IF(emp_db[[#This Row],[Exit Date]]&lt;&gt;"",(emp_db[[#This Row],[Exit Date]]-emp_db[[#This Row],[Column1]])/365,IF(emp_db[[#This Row],[ID]]&lt;&gt;"",(TODAY()-emp_db[[#This Row],[Column1]])/365,""))</f>
        <v/>
      </c>
      <c r="R314" s="42" t="str">
        <f ca="1">IF(emp_db[[#This Row],[Date of Birth]]&lt;&gt;"",(TODAY()-emp_db[[#This Row],[Date of Birth]])/365,"")</f>
        <v/>
      </c>
      <c r="S314" s="42">
        <f>YEAR(emp_db[[#This Row],[Column1]])</f>
        <v>1900</v>
      </c>
      <c r="T314" s="42">
        <f>MONTH(emp_db[[#This Row],[Column1]])</f>
        <v>1</v>
      </c>
      <c r="U314" s="42">
        <f>IFERROR(YEAR(emp_db[[#This Row],[Exit Date]]),"")</f>
        <v>1900</v>
      </c>
      <c r="V314" s="42">
        <f>IFERROR(MONTH(emp_db[[#This Row],[Exit Date]]),"")</f>
        <v>1</v>
      </c>
    </row>
    <row r="315" spans="2:22">
      <c r="B315" s="39"/>
      <c r="C315" s="39"/>
      <c r="D315" s="39"/>
      <c r="E315" s="39"/>
      <c r="F315" s="40"/>
      <c r="G315" s="38"/>
      <c r="H315" s="43"/>
      <c r="I315" s="43"/>
      <c r="J315" s="39"/>
      <c r="K315" s="38"/>
      <c r="L315" s="39"/>
      <c r="M315" s="39"/>
      <c r="N315" s="43"/>
      <c r="O315" s="38"/>
      <c r="P315" s="38"/>
      <c r="Q315" s="41" t="str">
        <f ca="1">IF(emp_db[[#This Row],[Exit Date]]&lt;&gt;"",(emp_db[[#This Row],[Exit Date]]-emp_db[[#This Row],[Column1]])/365,IF(emp_db[[#This Row],[ID]]&lt;&gt;"",(TODAY()-emp_db[[#This Row],[Column1]])/365,""))</f>
        <v/>
      </c>
      <c r="R315" s="42" t="str">
        <f ca="1">IF(emp_db[[#This Row],[Date of Birth]]&lt;&gt;"",(TODAY()-emp_db[[#This Row],[Date of Birth]])/365,"")</f>
        <v/>
      </c>
      <c r="S315" s="42">
        <f>YEAR(emp_db[[#This Row],[Column1]])</f>
        <v>1900</v>
      </c>
      <c r="T315" s="42">
        <f>MONTH(emp_db[[#This Row],[Column1]])</f>
        <v>1</v>
      </c>
      <c r="U315" s="42">
        <f>IFERROR(YEAR(emp_db[[#This Row],[Exit Date]]),"")</f>
        <v>1900</v>
      </c>
      <c r="V315" s="42">
        <f>IFERROR(MONTH(emp_db[[#This Row],[Exit Date]]),"")</f>
        <v>1</v>
      </c>
    </row>
    <row r="316" spans="2:22">
      <c r="B316" s="39"/>
      <c r="C316" s="39"/>
      <c r="D316" s="39"/>
      <c r="E316" s="39"/>
      <c r="F316" s="40"/>
      <c r="G316" s="38"/>
      <c r="H316" s="43"/>
      <c r="I316" s="43"/>
      <c r="J316" s="39"/>
      <c r="K316" s="38"/>
      <c r="L316" s="39"/>
      <c r="M316" s="39"/>
      <c r="N316" s="43"/>
      <c r="O316" s="38"/>
      <c r="P316" s="38"/>
      <c r="Q316" s="41" t="str">
        <f ca="1">IF(emp_db[[#This Row],[Exit Date]]&lt;&gt;"",(emp_db[[#This Row],[Exit Date]]-emp_db[[#This Row],[Column1]])/365,IF(emp_db[[#This Row],[ID]]&lt;&gt;"",(TODAY()-emp_db[[#This Row],[Column1]])/365,""))</f>
        <v/>
      </c>
      <c r="R316" s="42" t="str">
        <f ca="1">IF(emp_db[[#This Row],[Date of Birth]]&lt;&gt;"",(TODAY()-emp_db[[#This Row],[Date of Birth]])/365,"")</f>
        <v/>
      </c>
      <c r="S316" s="42">
        <f>YEAR(emp_db[[#This Row],[Column1]])</f>
        <v>1900</v>
      </c>
      <c r="T316" s="42">
        <f>MONTH(emp_db[[#This Row],[Column1]])</f>
        <v>1</v>
      </c>
      <c r="U316" s="42">
        <f>IFERROR(YEAR(emp_db[[#This Row],[Exit Date]]),"")</f>
        <v>1900</v>
      </c>
      <c r="V316" s="42">
        <f>IFERROR(MONTH(emp_db[[#This Row],[Exit Date]]),"")</f>
        <v>1</v>
      </c>
    </row>
    <row r="317" spans="2:22">
      <c r="B317" s="39"/>
      <c r="C317" s="39"/>
      <c r="D317" s="39"/>
      <c r="E317" s="39"/>
      <c r="F317" s="40"/>
      <c r="G317" s="38"/>
      <c r="H317" s="43"/>
      <c r="I317" s="43"/>
      <c r="J317" s="39"/>
      <c r="K317" s="38"/>
      <c r="L317" s="39"/>
      <c r="M317" s="39"/>
      <c r="N317" s="43"/>
      <c r="O317" s="38"/>
      <c r="P317" s="38"/>
      <c r="Q317" s="41" t="str">
        <f ca="1">IF(emp_db[[#This Row],[Exit Date]]&lt;&gt;"",(emp_db[[#This Row],[Exit Date]]-emp_db[[#This Row],[Column1]])/365,IF(emp_db[[#This Row],[ID]]&lt;&gt;"",(TODAY()-emp_db[[#This Row],[Column1]])/365,""))</f>
        <v/>
      </c>
      <c r="R317" s="42" t="str">
        <f ca="1">IF(emp_db[[#This Row],[Date of Birth]]&lt;&gt;"",(TODAY()-emp_db[[#This Row],[Date of Birth]])/365,"")</f>
        <v/>
      </c>
      <c r="S317" s="42">
        <f>YEAR(emp_db[[#This Row],[Column1]])</f>
        <v>1900</v>
      </c>
      <c r="T317" s="42">
        <f>MONTH(emp_db[[#This Row],[Column1]])</f>
        <v>1</v>
      </c>
      <c r="U317" s="42">
        <f>IFERROR(YEAR(emp_db[[#This Row],[Exit Date]]),"")</f>
        <v>1900</v>
      </c>
      <c r="V317" s="42">
        <f>IFERROR(MONTH(emp_db[[#This Row],[Exit Date]]),"")</f>
        <v>1</v>
      </c>
    </row>
    <row r="318" spans="2:22">
      <c r="B318" s="39"/>
      <c r="C318" s="39"/>
      <c r="D318" s="39"/>
      <c r="E318" s="39"/>
      <c r="F318" s="40"/>
      <c r="G318" s="38"/>
      <c r="H318" s="43"/>
      <c r="I318" s="43"/>
      <c r="J318" s="39"/>
      <c r="K318" s="38"/>
      <c r="L318" s="39"/>
      <c r="M318" s="39"/>
      <c r="N318" s="43"/>
      <c r="O318" s="38"/>
      <c r="P318" s="38"/>
      <c r="Q318" s="41" t="str">
        <f ca="1">IF(emp_db[[#This Row],[Exit Date]]&lt;&gt;"",(emp_db[[#This Row],[Exit Date]]-emp_db[[#This Row],[Column1]])/365,IF(emp_db[[#This Row],[ID]]&lt;&gt;"",(TODAY()-emp_db[[#This Row],[Column1]])/365,""))</f>
        <v/>
      </c>
      <c r="R318" s="42" t="str">
        <f ca="1">IF(emp_db[[#This Row],[Date of Birth]]&lt;&gt;"",(TODAY()-emp_db[[#This Row],[Date of Birth]])/365,"")</f>
        <v/>
      </c>
      <c r="S318" s="42">
        <f>YEAR(emp_db[[#This Row],[Column1]])</f>
        <v>1900</v>
      </c>
      <c r="T318" s="42">
        <f>MONTH(emp_db[[#This Row],[Column1]])</f>
        <v>1</v>
      </c>
      <c r="U318" s="42">
        <f>IFERROR(YEAR(emp_db[[#This Row],[Exit Date]]),"")</f>
        <v>1900</v>
      </c>
      <c r="V318" s="42">
        <f>IFERROR(MONTH(emp_db[[#This Row],[Exit Date]]),"")</f>
        <v>1</v>
      </c>
    </row>
    <row r="319" spans="2:22">
      <c r="B319" s="39"/>
      <c r="C319" s="39"/>
      <c r="D319" s="39"/>
      <c r="E319" s="39"/>
      <c r="F319" s="40"/>
      <c r="G319" s="38"/>
      <c r="H319" s="43"/>
      <c r="I319" s="43"/>
      <c r="J319" s="39"/>
      <c r="K319" s="38"/>
      <c r="L319" s="39"/>
      <c r="M319" s="39"/>
      <c r="N319" s="43"/>
      <c r="O319" s="38"/>
      <c r="P319" s="38"/>
      <c r="Q319" s="41" t="str">
        <f ca="1">IF(emp_db[[#This Row],[Exit Date]]&lt;&gt;"",(emp_db[[#This Row],[Exit Date]]-emp_db[[#This Row],[Column1]])/365,IF(emp_db[[#This Row],[ID]]&lt;&gt;"",(TODAY()-emp_db[[#This Row],[Column1]])/365,""))</f>
        <v/>
      </c>
      <c r="R319" s="42" t="str">
        <f ca="1">IF(emp_db[[#This Row],[Date of Birth]]&lt;&gt;"",(TODAY()-emp_db[[#This Row],[Date of Birth]])/365,"")</f>
        <v/>
      </c>
      <c r="S319" s="42">
        <f>YEAR(emp_db[[#This Row],[Column1]])</f>
        <v>1900</v>
      </c>
      <c r="T319" s="42">
        <f>MONTH(emp_db[[#This Row],[Column1]])</f>
        <v>1</v>
      </c>
      <c r="U319" s="42">
        <f>IFERROR(YEAR(emp_db[[#This Row],[Exit Date]]),"")</f>
        <v>1900</v>
      </c>
      <c r="V319" s="42">
        <f>IFERROR(MONTH(emp_db[[#This Row],[Exit Date]]),"")</f>
        <v>1</v>
      </c>
    </row>
    <row r="320" spans="2:22">
      <c r="B320" s="39"/>
      <c r="C320" s="39"/>
      <c r="D320" s="39"/>
      <c r="E320" s="39"/>
      <c r="F320" s="40"/>
      <c r="G320" s="38"/>
      <c r="H320" s="43"/>
      <c r="I320" s="43"/>
      <c r="J320" s="39"/>
      <c r="K320" s="38"/>
      <c r="L320" s="39"/>
      <c r="M320" s="39"/>
      <c r="N320" s="43"/>
      <c r="O320" s="38"/>
      <c r="P320" s="38"/>
      <c r="Q320" s="41" t="str">
        <f ca="1">IF(emp_db[[#This Row],[Exit Date]]&lt;&gt;"",(emp_db[[#This Row],[Exit Date]]-emp_db[[#This Row],[Column1]])/365,IF(emp_db[[#This Row],[ID]]&lt;&gt;"",(TODAY()-emp_db[[#This Row],[Column1]])/365,""))</f>
        <v/>
      </c>
      <c r="R320" s="42" t="str">
        <f ca="1">IF(emp_db[[#This Row],[Date of Birth]]&lt;&gt;"",(TODAY()-emp_db[[#This Row],[Date of Birth]])/365,"")</f>
        <v/>
      </c>
      <c r="S320" s="42">
        <f>YEAR(emp_db[[#This Row],[Column1]])</f>
        <v>1900</v>
      </c>
      <c r="T320" s="42">
        <f>MONTH(emp_db[[#This Row],[Column1]])</f>
        <v>1</v>
      </c>
      <c r="U320" s="42">
        <f>IFERROR(YEAR(emp_db[[#This Row],[Exit Date]]),"")</f>
        <v>1900</v>
      </c>
      <c r="V320" s="42">
        <f>IFERROR(MONTH(emp_db[[#This Row],[Exit Date]]),"")</f>
        <v>1</v>
      </c>
    </row>
    <row r="321" spans="2:22">
      <c r="B321" s="39"/>
      <c r="C321" s="39"/>
      <c r="D321" s="39"/>
      <c r="E321" s="39"/>
      <c r="F321" s="40"/>
      <c r="G321" s="38"/>
      <c r="H321" s="43"/>
      <c r="I321" s="43"/>
      <c r="J321" s="39"/>
      <c r="K321" s="38"/>
      <c r="L321" s="39"/>
      <c r="M321" s="39"/>
      <c r="N321" s="43"/>
      <c r="O321" s="38"/>
      <c r="P321" s="38"/>
      <c r="Q321" s="41" t="str">
        <f ca="1">IF(emp_db[[#This Row],[Exit Date]]&lt;&gt;"",(emp_db[[#This Row],[Exit Date]]-emp_db[[#This Row],[Column1]])/365,IF(emp_db[[#This Row],[ID]]&lt;&gt;"",(TODAY()-emp_db[[#This Row],[Column1]])/365,""))</f>
        <v/>
      </c>
      <c r="R321" s="42" t="str">
        <f ca="1">IF(emp_db[[#This Row],[Date of Birth]]&lt;&gt;"",(TODAY()-emp_db[[#This Row],[Date of Birth]])/365,"")</f>
        <v/>
      </c>
      <c r="S321" s="42">
        <f>YEAR(emp_db[[#This Row],[Column1]])</f>
        <v>1900</v>
      </c>
      <c r="T321" s="42">
        <f>MONTH(emp_db[[#This Row],[Column1]])</f>
        <v>1</v>
      </c>
      <c r="U321" s="42">
        <f>IFERROR(YEAR(emp_db[[#This Row],[Exit Date]]),"")</f>
        <v>1900</v>
      </c>
      <c r="V321" s="42">
        <f>IFERROR(MONTH(emp_db[[#This Row],[Exit Date]]),"")</f>
        <v>1</v>
      </c>
    </row>
    <row r="322" spans="2:22">
      <c r="B322" s="39"/>
      <c r="C322" s="39"/>
      <c r="D322" s="39"/>
      <c r="E322" s="39"/>
      <c r="F322" s="40"/>
      <c r="G322" s="38"/>
      <c r="H322" s="43"/>
      <c r="I322" s="43"/>
      <c r="J322" s="39"/>
      <c r="K322" s="38"/>
      <c r="L322" s="39"/>
      <c r="M322" s="39"/>
      <c r="N322" s="43"/>
      <c r="O322" s="38"/>
      <c r="P322" s="38"/>
      <c r="Q322" s="41" t="str">
        <f ca="1">IF(emp_db[[#This Row],[Exit Date]]&lt;&gt;"",(emp_db[[#This Row],[Exit Date]]-emp_db[[#This Row],[Column1]])/365,IF(emp_db[[#This Row],[ID]]&lt;&gt;"",(TODAY()-emp_db[[#This Row],[Column1]])/365,""))</f>
        <v/>
      </c>
      <c r="R322" s="42" t="str">
        <f ca="1">IF(emp_db[[#This Row],[Date of Birth]]&lt;&gt;"",(TODAY()-emp_db[[#This Row],[Date of Birth]])/365,"")</f>
        <v/>
      </c>
      <c r="S322" s="42">
        <f>YEAR(emp_db[[#This Row],[Column1]])</f>
        <v>1900</v>
      </c>
      <c r="T322" s="42">
        <f>MONTH(emp_db[[#This Row],[Column1]])</f>
        <v>1</v>
      </c>
      <c r="U322" s="42">
        <f>IFERROR(YEAR(emp_db[[#This Row],[Exit Date]]),"")</f>
        <v>1900</v>
      </c>
      <c r="V322" s="42">
        <f>IFERROR(MONTH(emp_db[[#This Row],[Exit Date]]),"")</f>
        <v>1</v>
      </c>
    </row>
    <row r="323" spans="2:22">
      <c r="B323" s="39"/>
      <c r="C323" s="39"/>
      <c r="D323" s="39"/>
      <c r="E323" s="39"/>
      <c r="F323" s="40"/>
      <c r="G323" s="38"/>
      <c r="H323" s="43"/>
      <c r="I323" s="43"/>
      <c r="J323" s="39"/>
      <c r="K323" s="38"/>
      <c r="L323" s="39"/>
      <c r="M323" s="39"/>
      <c r="N323" s="43"/>
      <c r="O323" s="38"/>
      <c r="P323" s="38"/>
      <c r="Q323" s="41" t="str">
        <f ca="1">IF(emp_db[[#This Row],[Exit Date]]&lt;&gt;"",(emp_db[[#This Row],[Exit Date]]-emp_db[[#This Row],[Column1]])/365,IF(emp_db[[#This Row],[ID]]&lt;&gt;"",(TODAY()-emp_db[[#This Row],[Column1]])/365,""))</f>
        <v/>
      </c>
      <c r="R323" s="42" t="str">
        <f ca="1">IF(emp_db[[#This Row],[Date of Birth]]&lt;&gt;"",(TODAY()-emp_db[[#This Row],[Date of Birth]])/365,"")</f>
        <v/>
      </c>
      <c r="S323" s="42">
        <f>YEAR(emp_db[[#This Row],[Column1]])</f>
        <v>1900</v>
      </c>
      <c r="T323" s="42">
        <f>MONTH(emp_db[[#This Row],[Column1]])</f>
        <v>1</v>
      </c>
      <c r="U323" s="42">
        <f>IFERROR(YEAR(emp_db[[#This Row],[Exit Date]]),"")</f>
        <v>1900</v>
      </c>
      <c r="V323" s="42">
        <f>IFERROR(MONTH(emp_db[[#This Row],[Exit Date]]),"")</f>
        <v>1</v>
      </c>
    </row>
    <row r="324" spans="2:22">
      <c r="B324" s="39"/>
      <c r="C324" s="39"/>
      <c r="D324" s="39"/>
      <c r="E324" s="39"/>
      <c r="F324" s="40"/>
      <c r="G324" s="38"/>
      <c r="H324" s="43"/>
      <c r="I324" s="43"/>
      <c r="J324" s="39"/>
      <c r="K324" s="38"/>
      <c r="L324" s="39"/>
      <c r="M324" s="39"/>
      <c r="N324" s="43"/>
      <c r="O324" s="38"/>
      <c r="P324" s="38"/>
      <c r="Q324" s="41" t="str">
        <f ca="1">IF(emp_db[[#This Row],[Exit Date]]&lt;&gt;"",(emp_db[[#This Row],[Exit Date]]-emp_db[[#This Row],[Column1]])/365,IF(emp_db[[#This Row],[ID]]&lt;&gt;"",(TODAY()-emp_db[[#This Row],[Column1]])/365,""))</f>
        <v/>
      </c>
      <c r="R324" s="42" t="str">
        <f ca="1">IF(emp_db[[#This Row],[Date of Birth]]&lt;&gt;"",(TODAY()-emp_db[[#This Row],[Date of Birth]])/365,"")</f>
        <v/>
      </c>
      <c r="S324" s="42">
        <f>YEAR(emp_db[[#This Row],[Column1]])</f>
        <v>1900</v>
      </c>
      <c r="T324" s="42">
        <f>MONTH(emp_db[[#This Row],[Column1]])</f>
        <v>1</v>
      </c>
      <c r="U324" s="42">
        <f>IFERROR(YEAR(emp_db[[#This Row],[Exit Date]]),"")</f>
        <v>1900</v>
      </c>
      <c r="V324" s="42">
        <f>IFERROR(MONTH(emp_db[[#This Row],[Exit Date]]),"")</f>
        <v>1</v>
      </c>
    </row>
    <row r="325" spans="2:22">
      <c r="B325" s="39"/>
      <c r="C325" s="39"/>
      <c r="D325" s="39"/>
      <c r="E325" s="39"/>
      <c r="F325" s="40"/>
      <c r="G325" s="38"/>
      <c r="H325" s="43"/>
      <c r="I325" s="43"/>
      <c r="J325" s="39"/>
      <c r="K325" s="38"/>
      <c r="L325" s="39"/>
      <c r="M325" s="39"/>
      <c r="N325" s="43"/>
      <c r="O325" s="38"/>
      <c r="P325" s="38"/>
      <c r="Q325" s="41" t="str">
        <f ca="1">IF(emp_db[[#This Row],[Exit Date]]&lt;&gt;"",(emp_db[[#This Row],[Exit Date]]-emp_db[[#This Row],[Column1]])/365,IF(emp_db[[#This Row],[ID]]&lt;&gt;"",(TODAY()-emp_db[[#This Row],[Column1]])/365,""))</f>
        <v/>
      </c>
      <c r="R325" s="42" t="str">
        <f ca="1">IF(emp_db[[#This Row],[Date of Birth]]&lt;&gt;"",(TODAY()-emp_db[[#This Row],[Date of Birth]])/365,"")</f>
        <v/>
      </c>
      <c r="S325" s="42">
        <f>YEAR(emp_db[[#This Row],[Column1]])</f>
        <v>1900</v>
      </c>
      <c r="T325" s="42">
        <f>MONTH(emp_db[[#This Row],[Column1]])</f>
        <v>1</v>
      </c>
      <c r="U325" s="42">
        <f>IFERROR(YEAR(emp_db[[#This Row],[Exit Date]]),"")</f>
        <v>1900</v>
      </c>
      <c r="V325" s="42">
        <f>IFERROR(MONTH(emp_db[[#This Row],[Exit Date]]),"")</f>
        <v>1</v>
      </c>
    </row>
    <row r="326" spans="2:22">
      <c r="B326" s="39"/>
      <c r="C326" s="39"/>
      <c r="D326" s="39"/>
      <c r="E326" s="39"/>
      <c r="F326" s="40"/>
      <c r="G326" s="38"/>
      <c r="H326" s="43"/>
      <c r="I326" s="43"/>
      <c r="J326" s="39"/>
      <c r="K326" s="38"/>
      <c r="L326" s="39"/>
      <c r="M326" s="39"/>
      <c r="N326" s="43"/>
      <c r="O326" s="38"/>
      <c r="P326" s="38"/>
      <c r="Q326" s="41" t="str">
        <f ca="1">IF(emp_db[[#This Row],[Exit Date]]&lt;&gt;"",(emp_db[[#This Row],[Exit Date]]-emp_db[[#This Row],[Column1]])/365,IF(emp_db[[#This Row],[ID]]&lt;&gt;"",(TODAY()-emp_db[[#This Row],[Column1]])/365,""))</f>
        <v/>
      </c>
      <c r="R326" s="42" t="str">
        <f ca="1">IF(emp_db[[#This Row],[Date of Birth]]&lt;&gt;"",(TODAY()-emp_db[[#This Row],[Date of Birth]])/365,"")</f>
        <v/>
      </c>
      <c r="S326" s="42">
        <f>YEAR(emp_db[[#This Row],[Column1]])</f>
        <v>1900</v>
      </c>
      <c r="T326" s="42">
        <f>MONTH(emp_db[[#This Row],[Column1]])</f>
        <v>1</v>
      </c>
      <c r="U326" s="42">
        <f>IFERROR(YEAR(emp_db[[#This Row],[Exit Date]]),"")</f>
        <v>1900</v>
      </c>
      <c r="V326" s="42">
        <f>IFERROR(MONTH(emp_db[[#This Row],[Exit Date]]),"")</f>
        <v>1</v>
      </c>
    </row>
    <row r="327" spans="2:22">
      <c r="B327" s="39"/>
      <c r="C327" s="39"/>
      <c r="D327" s="39"/>
      <c r="E327" s="39"/>
      <c r="F327" s="40"/>
      <c r="G327" s="38"/>
      <c r="H327" s="43"/>
      <c r="I327" s="43"/>
      <c r="J327" s="39"/>
      <c r="K327" s="38"/>
      <c r="L327" s="39"/>
      <c r="M327" s="39"/>
      <c r="N327" s="43"/>
      <c r="O327" s="38"/>
      <c r="P327" s="38"/>
      <c r="Q327" s="41" t="str">
        <f ca="1">IF(emp_db[[#This Row],[Exit Date]]&lt;&gt;"",(emp_db[[#This Row],[Exit Date]]-emp_db[[#This Row],[Column1]])/365,IF(emp_db[[#This Row],[ID]]&lt;&gt;"",(TODAY()-emp_db[[#This Row],[Column1]])/365,""))</f>
        <v/>
      </c>
      <c r="R327" s="42" t="str">
        <f ca="1">IF(emp_db[[#This Row],[Date of Birth]]&lt;&gt;"",(TODAY()-emp_db[[#This Row],[Date of Birth]])/365,"")</f>
        <v/>
      </c>
      <c r="S327" s="42">
        <f>YEAR(emp_db[[#This Row],[Column1]])</f>
        <v>1900</v>
      </c>
      <c r="T327" s="42">
        <f>MONTH(emp_db[[#This Row],[Column1]])</f>
        <v>1</v>
      </c>
      <c r="U327" s="42">
        <f>IFERROR(YEAR(emp_db[[#This Row],[Exit Date]]),"")</f>
        <v>1900</v>
      </c>
      <c r="V327" s="42">
        <f>IFERROR(MONTH(emp_db[[#This Row],[Exit Date]]),"")</f>
        <v>1</v>
      </c>
    </row>
    <row r="328" spans="2:22">
      <c r="B328" s="39"/>
      <c r="C328" s="39"/>
      <c r="D328" s="39"/>
      <c r="E328" s="39"/>
      <c r="F328" s="40"/>
      <c r="G328" s="38"/>
      <c r="H328" s="43"/>
      <c r="I328" s="43"/>
      <c r="J328" s="39"/>
      <c r="K328" s="38"/>
      <c r="L328" s="39"/>
      <c r="M328" s="39"/>
      <c r="N328" s="43"/>
      <c r="O328" s="38"/>
      <c r="P328" s="38"/>
      <c r="Q328" s="41" t="str">
        <f ca="1">IF(emp_db[[#This Row],[Exit Date]]&lt;&gt;"",(emp_db[[#This Row],[Exit Date]]-emp_db[[#This Row],[Column1]])/365,IF(emp_db[[#This Row],[ID]]&lt;&gt;"",(TODAY()-emp_db[[#This Row],[Column1]])/365,""))</f>
        <v/>
      </c>
      <c r="R328" s="42" t="str">
        <f ca="1">IF(emp_db[[#This Row],[Date of Birth]]&lt;&gt;"",(TODAY()-emp_db[[#This Row],[Date of Birth]])/365,"")</f>
        <v/>
      </c>
      <c r="S328" s="42">
        <f>YEAR(emp_db[[#This Row],[Column1]])</f>
        <v>1900</v>
      </c>
      <c r="T328" s="42">
        <f>MONTH(emp_db[[#This Row],[Column1]])</f>
        <v>1</v>
      </c>
      <c r="U328" s="42">
        <f>IFERROR(YEAR(emp_db[[#This Row],[Exit Date]]),"")</f>
        <v>1900</v>
      </c>
      <c r="V328" s="42">
        <f>IFERROR(MONTH(emp_db[[#This Row],[Exit Date]]),"")</f>
        <v>1</v>
      </c>
    </row>
    <row r="329" spans="2:22">
      <c r="B329" s="39"/>
      <c r="C329" s="39"/>
      <c r="D329" s="39"/>
      <c r="E329" s="39"/>
      <c r="F329" s="40"/>
      <c r="G329" s="38"/>
      <c r="H329" s="43"/>
      <c r="I329" s="43"/>
      <c r="J329" s="39"/>
      <c r="K329" s="38"/>
      <c r="L329" s="39"/>
      <c r="M329" s="39"/>
      <c r="N329" s="43"/>
      <c r="O329" s="38"/>
      <c r="P329" s="38"/>
      <c r="Q329" s="41" t="str">
        <f ca="1">IF(emp_db[[#This Row],[Exit Date]]&lt;&gt;"",(emp_db[[#This Row],[Exit Date]]-emp_db[[#This Row],[Column1]])/365,IF(emp_db[[#This Row],[ID]]&lt;&gt;"",(TODAY()-emp_db[[#This Row],[Column1]])/365,""))</f>
        <v/>
      </c>
      <c r="R329" s="42" t="str">
        <f ca="1">IF(emp_db[[#This Row],[Date of Birth]]&lt;&gt;"",(TODAY()-emp_db[[#This Row],[Date of Birth]])/365,"")</f>
        <v/>
      </c>
      <c r="S329" s="42">
        <f>YEAR(emp_db[[#This Row],[Column1]])</f>
        <v>1900</v>
      </c>
      <c r="T329" s="42">
        <f>MONTH(emp_db[[#This Row],[Column1]])</f>
        <v>1</v>
      </c>
      <c r="U329" s="42">
        <f>IFERROR(YEAR(emp_db[[#This Row],[Exit Date]]),"")</f>
        <v>1900</v>
      </c>
      <c r="V329" s="42">
        <f>IFERROR(MONTH(emp_db[[#This Row],[Exit Date]]),"")</f>
        <v>1</v>
      </c>
    </row>
    <row r="330" spans="2:22">
      <c r="B330" s="39"/>
      <c r="C330" s="39"/>
      <c r="D330" s="39"/>
      <c r="E330" s="39"/>
      <c r="F330" s="40"/>
      <c r="G330" s="38"/>
      <c r="H330" s="43"/>
      <c r="I330" s="43"/>
      <c r="J330" s="39"/>
      <c r="K330" s="38"/>
      <c r="L330" s="39"/>
      <c r="M330" s="39"/>
      <c r="N330" s="43"/>
      <c r="O330" s="38"/>
      <c r="P330" s="38"/>
      <c r="Q330" s="41" t="str">
        <f ca="1">IF(emp_db[[#This Row],[Exit Date]]&lt;&gt;"",(emp_db[[#This Row],[Exit Date]]-emp_db[[#This Row],[Column1]])/365,IF(emp_db[[#This Row],[ID]]&lt;&gt;"",(TODAY()-emp_db[[#This Row],[Column1]])/365,""))</f>
        <v/>
      </c>
      <c r="R330" s="42" t="str">
        <f ca="1">IF(emp_db[[#This Row],[Date of Birth]]&lt;&gt;"",(TODAY()-emp_db[[#This Row],[Date of Birth]])/365,"")</f>
        <v/>
      </c>
      <c r="S330" s="42">
        <f>YEAR(emp_db[[#This Row],[Column1]])</f>
        <v>1900</v>
      </c>
      <c r="T330" s="42">
        <f>MONTH(emp_db[[#This Row],[Column1]])</f>
        <v>1</v>
      </c>
      <c r="U330" s="42">
        <f>IFERROR(YEAR(emp_db[[#This Row],[Exit Date]]),"")</f>
        <v>1900</v>
      </c>
      <c r="V330" s="42">
        <f>IFERROR(MONTH(emp_db[[#This Row],[Exit Date]]),"")</f>
        <v>1</v>
      </c>
    </row>
    <row r="331" spans="2:22">
      <c r="B331" s="39"/>
      <c r="C331" s="39"/>
      <c r="D331" s="39"/>
      <c r="E331" s="39"/>
      <c r="F331" s="40"/>
      <c r="G331" s="38"/>
      <c r="H331" s="43"/>
      <c r="I331" s="43"/>
      <c r="J331" s="39"/>
      <c r="K331" s="38"/>
      <c r="L331" s="39"/>
      <c r="M331" s="39"/>
      <c r="N331" s="43"/>
      <c r="O331" s="38"/>
      <c r="P331" s="38"/>
      <c r="Q331" s="41" t="str">
        <f ca="1">IF(emp_db[[#This Row],[Exit Date]]&lt;&gt;"",(emp_db[[#This Row],[Exit Date]]-emp_db[[#This Row],[Column1]])/365,IF(emp_db[[#This Row],[ID]]&lt;&gt;"",(TODAY()-emp_db[[#This Row],[Column1]])/365,""))</f>
        <v/>
      </c>
      <c r="R331" s="42" t="str">
        <f ca="1">IF(emp_db[[#This Row],[Date of Birth]]&lt;&gt;"",(TODAY()-emp_db[[#This Row],[Date of Birth]])/365,"")</f>
        <v/>
      </c>
      <c r="S331" s="42">
        <f>YEAR(emp_db[[#This Row],[Column1]])</f>
        <v>1900</v>
      </c>
      <c r="T331" s="42">
        <f>MONTH(emp_db[[#This Row],[Column1]])</f>
        <v>1</v>
      </c>
      <c r="U331" s="42">
        <f>IFERROR(YEAR(emp_db[[#This Row],[Exit Date]]),"")</f>
        <v>1900</v>
      </c>
      <c r="V331" s="42">
        <f>IFERROR(MONTH(emp_db[[#This Row],[Exit Date]]),"")</f>
        <v>1</v>
      </c>
    </row>
    <row r="332" spans="2:22">
      <c r="B332" s="39"/>
      <c r="C332" s="39"/>
      <c r="D332" s="39"/>
      <c r="E332" s="39"/>
      <c r="F332" s="40"/>
      <c r="G332" s="38"/>
      <c r="H332" s="43"/>
      <c r="I332" s="43"/>
      <c r="J332" s="39"/>
      <c r="K332" s="38"/>
      <c r="L332" s="39"/>
      <c r="M332" s="39"/>
      <c r="N332" s="43"/>
      <c r="O332" s="38"/>
      <c r="P332" s="38"/>
      <c r="Q332" s="41" t="str">
        <f ca="1">IF(emp_db[[#This Row],[Exit Date]]&lt;&gt;"",(emp_db[[#This Row],[Exit Date]]-emp_db[[#This Row],[Column1]])/365,IF(emp_db[[#This Row],[ID]]&lt;&gt;"",(TODAY()-emp_db[[#This Row],[Column1]])/365,""))</f>
        <v/>
      </c>
      <c r="R332" s="42" t="str">
        <f ca="1">IF(emp_db[[#This Row],[Date of Birth]]&lt;&gt;"",(TODAY()-emp_db[[#This Row],[Date of Birth]])/365,"")</f>
        <v/>
      </c>
      <c r="S332" s="42">
        <f>YEAR(emp_db[[#This Row],[Column1]])</f>
        <v>1900</v>
      </c>
      <c r="T332" s="42">
        <f>MONTH(emp_db[[#This Row],[Column1]])</f>
        <v>1</v>
      </c>
      <c r="U332" s="42">
        <f>IFERROR(YEAR(emp_db[[#This Row],[Exit Date]]),"")</f>
        <v>1900</v>
      </c>
      <c r="V332" s="42">
        <f>IFERROR(MONTH(emp_db[[#This Row],[Exit Date]]),"")</f>
        <v>1</v>
      </c>
    </row>
    <row r="333" spans="2:22">
      <c r="B333" s="39"/>
      <c r="C333" s="39"/>
      <c r="D333" s="39"/>
      <c r="E333" s="39"/>
      <c r="F333" s="40"/>
      <c r="G333" s="38"/>
      <c r="H333" s="43"/>
      <c r="I333" s="43"/>
      <c r="J333" s="39"/>
      <c r="K333" s="38"/>
      <c r="L333" s="39"/>
      <c r="M333" s="39"/>
      <c r="N333" s="43"/>
      <c r="O333" s="38"/>
      <c r="P333" s="38"/>
      <c r="Q333" s="41" t="str">
        <f ca="1">IF(emp_db[[#This Row],[Exit Date]]&lt;&gt;"",(emp_db[[#This Row],[Exit Date]]-emp_db[[#This Row],[Column1]])/365,IF(emp_db[[#This Row],[ID]]&lt;&gt;"",(TODAY()-emp_db[[#This Row],[Column1]])/365,""))</f>
        <v/>
      </c>
      <c r="R333" s="42" t="str">
        <f ca="1">IF(emp_db[[#This Row],[Date of Birth]]&lt;&gt;"",(TODAY()-emp_db[[#This Row],[Date of Birth]])/365,"")</f>
        <v/>
      </c>
      <c r="S333" s="42">
        <f>YEAR(emp_db[[#This Row],[Column1]])</f>
        <v>1900</v>
      </c>
      <c r="T333" s="42">
        <f>MONTH(emp_db[[#This Row],[Column1]])</f>
        <v>1</v>
      </c>
      <c r="U333" s="42">
        <f>IFERROR(YEAR(emp_db[[#This Row],[Exit Date]]),"")</f>
        <v>1900</v>
      </c>
      <c r="V333" s="42">
        <f>IFERROR(MONTH(emp_db[[#This Row],[Exit Date]]),"")</f>
        <v>1</v>
      </c>
    </row>
    <row r="334" spans="2:22">
      <c r="B334" s="39"/>
      <c r="C334" s="39"/>
      <c r="D334" s="39"/>
      <c r="E334" s="39"/>
      <c r="F334" s="40"/>
      <c r="G334" s="38"/>
      <c r="H334" s="43"/>
      <c r="I334" s="43"/>
      <c r="J334" s="39"/>
      <c r="K334" s="38"/>
      <c r="L334" s="39"/>
      <c r="M334" s="39"/>
      <c r="N334" s="43"/>
      <c r="O334" s="38"/>
      <c r="P334" s="38"/>
      <c r="Q334" s="41" t="str">
        <f ca="1">IF(emp_db[[#This Row],[Exit Date]]&lt;&gt;"",(emp_db[[#This Row],[Exit Date]]-emp_db[[#This Row],[Column1]])/365,IF(emp_db[[#This Row],[ID]]&lt;&gt;"",(TODAY()-emp_db[[#This Row],[Column1]])/365,""))</f>
        <v/>
      </c>
      <c r="R334" s="42" t="str">
        <f ca="1">IF(emp_db[[#This Row],[Date of Birth]]&lt;&gt;"",(TODAY()-emp_db[[#This Row],[Date of Birth]])/365,"")</f>
        <v/>
      </c>
      <c r="S334" s="42">
        <f>YEAR(emp_db[[#This Row],[Column1]])</f>
        <v>1900</v>
      </c>
      <c r="T334" s="42">
        <f>MONTH(emp_db[[#This Row],[Column1]])</f>
        <v>1</v>
      </c>
      <c r="U334" s="42">
        <f>IFERROR(YEAR(emp_db[[#This Row],[Exit Date]]),"")</f>
        <v>1900</v>
      </c>
      <c r="V334" s="42">
        <f>IFERROR(MONTH(emp_db[[#This Row],[Exit Date]]),"")</f>
        <v>1</v>
      </c>
    </row>
    <row r="335" spans="2:22">
      <c r="B335" s="39"/>
      <c r="C335" s="39"/>
      <c r="D335" s="39"/>
      <c r="E335" s="39"/>
      <c r="F335" s="40"/>
      <c r="G335" s="38"/>
      <c r="H335" s="43"/>
      <c r="I335" s="43"/>
      <c r="J335" s="39"/>
      <c r="K335" s="38"/>
      <c r="L335" s="39"/>
      <c r="M335" s="39"/>
      <c r="N335" s="43"/>
      <c r="O335" s="38"/>
      <c r="P335" s="38"/>
      <c r="Q335" s="41" t="str">
        <f ca="1">IF(emp_db[[#This Row],[Exit Date]]&lt;&gt;"",(emp_db[[#This Row],[Exit Date]]-emp_db[[#This Row],[Column1]])/365,IF(emp_db[[#This Row],[ID]]&lt;&gt;"",(TODAY()-emp_db[[#This Row],[Column1]])/365,""))</f>
        <v/>
      </c>
      <c r="R335" s="42" t="str">
        <f ca="1">IF(emp_db[[#This Row],[Date of Birth]]&lt;&gt;"",(TODAY()-emp_db[[#This Row],[Date of Birth]])/365,"")</f>
        <v/>
      </c>
      <c r="S335" s="42">
        <f>YEAR(emp_db[[#This Row],[Column1]])</f>
        <v>1900</v>
      </c>
      <c r="T335" s="42">
        <f>MONTH(emp_db[[#This Row],[Column1]])</f>
        <v>1</v>
      </c>
      <c r="U335" s="42">
        <f>IFERROR(YEAR(emp_db[[#This Row],[Exit Date]]),"")</f>
        <v>1900</v>
      </c>
      <c r="V335" s="42">
        <f>IFERROR(MONTH(emp_db[[#This Row],[Exit Date]]),"")</f>
        <v>1</v>
      </c>
    </row>
    <row r="336" spans="2:22">
      <c r="B336" s="39"/>
      <c r="C336" s="39"/>
      <c r="D336" s="39"/>
      <c r="E336" s="39"/>
      <c r="F336" s="40"/>
      <c r="G336" s="38"/>
      <c r="H336" s="43"/>
      <c r="I336" s="43"/>
      <c r="J336" s="39"/>
      <c r="K336" s="38"/>
      <c r="L336" s="39"/>
      <c r="M336" s="39"/>
      <c r="N336" s="43"/>
      <c r="O336" s="38"/>
      <c r="P336" s="38"/>
      <c r="Q336" s="41" t="str">
        <f ca="1">IF(emp_db[[#This Row],[Exit Date]]&lt;&gt;"",(emp_db[[#This Row],[Exit Date]]-emp_db[[#This Row],[Column1]])/365,IF(emp_db[[#This Row],[ID]]&lt;&gt;"",(TODAY()-emp_db[[#This Row],[Column1]])/365,""))</f>
        <v/>
      </c>
      <c r="R336" s="42" t="str">
        <f ca="1">IF(emp_db[[#This Row],[Date of Birth]]&lt;&gt;"",(TODAY()-emp_db[[#This Row],[Date of Birth]])/365,"")</f>
        <v/>
      </c>
      <c r="S336" s="42">
        <f>YEAR(emp_db[[#This Row],[Column1]])</f>
        <v>1900</v>
      </c>
      <c r="T336" s="42">
        <f>MONTH(emp_db[[#This Row],[Column1]])</f>
        <v>1</v>
      </c>
      <c r="U336" s="42">
        <f>IFERROR(YEAR(emp_db[[#This Row],[Exit Date]]),"")</f>
        <v>1900</v>
      </c>
      <c r="V336" s="42">
        <f>IFERROR(MONTH(emp_db[[#This Row],[Exit Date]]),"")</f>
        <v>1</v>
      </c>
    </row>
    <row r="337" spans="2:22">
      <c r="B337" s="39"/>
      <c r="C337" s="39"/>
      <c r="D337" s="39"/>
      <c r="E337" s="39"/>
      <c r="F337" s="40"/>
      <c r="G337" s="38"/>
      <c r="H337" s="43"/>
      <c r="I337" s="43"/>
      <c r="J337" s="39"/>
      <c r="K337" s="38"/>
      <c r="L337" s="39"/>
      <c r="M337" s="39"/>
      <c r="N337" s="43"/>
      <c r="O337" s="38"/>
      <c r="P337" s="38"/>
      <c r="Q337" s="41" t="str">
        <f ca="1">IF(emp_db[[#This Row],[Exit Date]]&lt;&gt;"",(emp_db[[#This Row],[Exit Date]]-emp_db[[#This Row],[Column1]])/365,IF(emp_db[[#This Row],[ID]]&lt;&gt;"",(TODAY()-emp_db[[#This Row],[Column1]])/365,""))</f>
        <v/>
      </c>
      <c r="R337" s="42" t="str">
        <f ca="1">IF(emp_db[[#This Row],[Date of Birth]]&lt;&gt;"",(TODAY()-emp_db[[#This Row],[Date of Birth]])/365,"")</f>
        <v/>
      </c>
      <c r="S337" s="42">
        <f>YEAR(emp_db[[#This Row],[Column1]])</f>
        <v>1900</v>
      </c>
      <c r="T337" s="42">
        <f>MONTH(emp_db[[#This Row],[Column1]])</f>
        <v>1</v>
      </c>
      <c r="U337" s="42">
        <f>IFERROR(YEAR(emp_db[[#This Row],[Exit Date]]),"")</f>
        <v>1900</v>
      </c>
      <c r="V337" s="42">
        <f>IFERROR(MONTH(emp_db[[#This Row],[Exit Date]]),"")</f>
        <v>1</v>
      </c>
    </row>
    <row r="338" spans="2:22">
      <c r="B338" s="39"/>
      <c r="C338" s="39"/>
      <c r="D338" s="39"/>
      <c r="E338" s="39"/>
      <c r="F338" s="40"/>
      <c r="G338" s="38"/>
      <c r="H338" s="43"/>
      <c r="I338" s="43"/>
      <c r="J338" s="39"/>
      <c r="K338" s="38"/>
      <c r="L338" s="39"/>
      <c r="M338" s="39"/>
      <c r="N338" s="43"/>
      <c r="O338" s="38"/>
      <c r="P338" s="38"/>
      <c r="Q338" s="41" t="str">
        <f ca="1">IF(emp_db[[#This Row],[Exit Date]]&lt;&gt;"",(emp_db[[#This Row],[Exit Date]]-emp_db[[#This Row],[Column1]])/365,IF(emp_db[[#This Row],[ID]]&lt;&gt;"",(TODAY()-emp_db[[#This Row],[Column1]])/365,""))</f>
        <v/>
      </c>
      <c r="R338" s="42" t="str">
        <f ca="1">IF(emp_db[[#This Row],[Date of Birth]]&lt;&gt;"",(TODAY()-emp_db[[#This Row],[Date of Birth]])/365,"")</f>
        <v/>
      </c>
      <c r="S338" s="42">
        <f>YEAR(emp_db[[#This Row],[Column1]])</f>
        <v>1900</v>
      </c>
      <c r="T338" s="42">
        <f>MONTH(emp_db[[#This Row],[Column1]])</f>
        <v>1</v>
      </c>
      <c r="U338" s="42">
        <f>IFERROR(YEAR(emp_db[[#This Row],[Exit Date]]),"")</f>
        <v>1900</v>
      </c>
      <c r="V338" s="42">
        <f>IFERROR(MONTH(emp_db[[#This Row],[Exit Date]]),"")</f>
        <v>1</v>
      </c>
    </row>
    <row r="339" spans="2:22">
      <c r="B339" s="39"/>
      <c r="C339" s="39"/>
      <c r="D339" s="39"/>
      <c r="E339" s="39"/>
      <c r="F339" s="40"/>
      <c r="G339" s="38"/>
      <c r="H339" s="43"/>
      <c r="I339" s="43"/>
      <c r="J339" s="39"/>
      <c r="K339" s="38"/>
      <c r="L339" s="39"/>
      <c r="M339" s="39"/>
      <c r="N339" s="43"/>
      <c r="O339" s="38"/>
      <c r="P339" s="38"/>
      <c r="Q339" s="41" t="str">
        <f ca="1">IF(emp_db[[#This Row],[Exit Date]]&lt;&gt;"",(emp_db[[#This Row],[Exit Date]]-emp_db[[#This Row],[Column1]])/365,IF(emp_db[[#This Row],[ID]]&lt;&gt;"",(TODAY()-emp_db[[#This Row],[Column1]])/365,""))</f>
        <v/>
      </c>
      <c r="R339" s="42" t="str">
        <f ca="1">IF(emp_db[[#This Row],[Date of Birth]]&lt;&gt;"",(TODAY()-emp_db[[#This Row],[Date of Birth]])/365,"")</f>
        <v/>
      </c>
      <c r="S339" s="42">
        <f>YEAR(emp_db[[#This Row],[Column1]])</f>
        <v>1900</v>
      </c>
      <c r="T339" s="42">
        <f>MONTH(emp_db[[#This Row],[Column1]])</f>
        <v>1</v>
      </c>
      <c r="U339" s="42">
        <f>IFERROR(YEAR(emp_db[[#This Row],[Exit Date]]),"")</f>
        <v>1900</v>
      </c>
      <c r="V339" s="42">
        <f>IFERROR(MONTH(emp_db[[#This Row],[Exit Date]]),"")</f>
        <v>1</v>
      </c>
    </row>
    <row r="340" spans="2:22">
      <c r="B340" s="39"/>
      <c r="C340" s="39"/>
      <c r="D340" s="39"/>
      <c r="E340" s="39"/>
      <c r="F340" s="40"/>
      <c r="G340" s="38"/>
      <c r="H340" s="43"/>
      <c r="I340" s="43"/>
      <c r="J340" s="39"/>
      <c r="K340" s="38"/>
      <c r="L340" s="39"/>
      <c r="M340" s="39"/>
      <c r="N340" s="43"/>
      <c r="O340" s="38"/>
      <c r="P340" s="38"/>
      <c r="Q340" s="41" t="str">
        <f ca="1">IF(emp_db[[#This Row],[Exit Date]]&lt;&gt;"",(emp_db[[#This Row],[Exit Date]]-emp_db[[#This Row],[Column1]])/365,IF(emp_db[[#This Row],[ID]]&lt;&gt;"",(TODAY()-emp_db[[#This Row],[Column1]])/365,""))</f>
        <v/>
      </c>
      <c r="R340" s="42" t="str">
        <f ca="1">IF(emp_db[[#This Row],[Date of Birth]]&lt;&gt;"",(TODAY()-emp_db[[#This Row],[Date of Birth]])/365,"")</f>
        <v/>
      </c>
      <c r="S340" s="42">
        <f>YEAR(emp_db[[#This Row],[Column1]])</f>
        <v>1900</v>
      </c>
      <c r="T340" s="42">
        <f>MONTH(emp_db[[#This Row],[Column1]])</f>
        <v>1</v>
      </c>
      <c r="U340" s="42">
        <f>IFERROR(YEAR(emp_db[[#This Row],[Exit Date]]),"")</f>
        <v>1900</v>
      </c>
      <c r="V340" s="42">
        <f>IFERROR(MONTH(emp_db[[#This Row],[Exit Date]]),"")</f>
        <v>1</v>
      </c>
    </row>
    <row r="341" spans="2:22">
      <c r="B341" s="39"/>
      <c r="C341" s="39"/>
      <c r="D341" s="39"/>
      <c r="E341" s="39"/>
      <c r="F341" s="40"/>
      <c r="G341" s="38"/>
      <c r="H341" s="43"/>
      <c r="I341" s="43"/>
      <c r="J341" s="39"/>
      <c r="K341" s="38"/>
      <c r="L341" s="39"/>
      <c r="M341" s="39"/>
      <c r="N341" s="43"/>
      <c r="O341" s="38"/>
      <c r="P341" s="38"/>
      <c r="Q341" s="41" t="str">
        <f ca="1">IF(emp_db[[#This Row],[Exit Date]]&lt;&gt;"",(emp_db[[#This Row],[Exit Date]]-emp_db[[#This Row],[Column1]])/365,IF(emp_db[[#This Row],[ID]]&lt;&gt;"",(TODAY()-emp_db[[#This Row],[Column1]])/365,""))</f>
        <v/>
      </c>
      <c r="R341" s="42" t="str">
        <f ca="1">IF(emp_db[[#This Row],[Date of Birth]]&lt;&gt;"",(TODAY()-emp_db[[#This Row],[Date of Birth]])/365,"")</f>
        <v/>
      </c>
      <c r="S341" s="42">
        <f>YEAR(emp_db[[#This Row],[Column1]])</f>
        <v>1900</v>
      </c>
      <c r="T341" s="42">
        <f>MONTH(emp_db[[#This Row],[Column1]])</f>
        <v>1</v>
      </c>
      <c r="U341" s="42">
        <f>IFERROR(YEAR(emp_db[[#This Row],[Exit Date]]),"")</f>
        <v>1900</v>
      </c>
      <c r="V341" s="42">
        <f>IFERROR(MONTH(emp_db[[#This Row],[Exit Date]]),"")</f>
        <v>1</v>
      </c>
    </row>
    <row r="342" spans="2:22">
      <c r="B342" s="39"/>
      <c r="C342" s="39"/>
      <c r="D342" s="39"/>
      <c r="E342" s="39"/>
      <c r="F342" s="40"/>
      <c r="G342" s="38"/>
      <c r="H342" s="43"/>
      <c r="I342" s="43"/>
      <c r="J342" s="39"/>
      <c r="K342" s="38"/>
      <c r="L342" s="39"/>
      <c r="M342" s="39"/>
      <c r="N342" s="43"/>
      <c r="O342" s="38"/>
      <c r="P342" s="38"/>
      <c r="Q342" s="41" t="str">
        <f ca="1">IF(emp_db[[#This Row],[Exit Date]]&lt;&gt;"",(emp_db[[#This Row],[Exit Date]]-emp_db[[#This Row],[Column1]])/365,IF(emp_db[[#This Row],[ID]]&lt;&gt;"",(TODAY()-emp_db[[#This Row],[Column1]])/365,""))</f>
        <v/>
      </c>
      <c r="R342" s="42" t="str">
        <f ca="1">IF(emp_db[[#This Row],[Date of Birth]]&lt;&gt;"",(TODAY()-emp_db[[#This Row],[Date of Birth]])/365,"")</f>
        <v/>
      </c>
      <c r="S342" s="42">
        <f>YEAR(emp_db[[#This Row],[Column1]])</f>
        <v>1900</v>
      </c>
      <c r="T342" s="42">
        <f>MONTH(emp_db[[#This Row],[Column1]])</f>
        <v>1</v>
      </c>
      <c r="U342" s="42">
        <f>IFERROR(YEAR(emp_db[[#This Row],[Exit Date]]),"")</f>
        <v>1900</v>
      </c>
      <c r="V342" s="42">
        <f>IFERROR(MONTH(emp_db[[#This Row],[Exit Date]]),"")</f>
        <v>1</v>
      </c>
    </row>
    <row r="343" spans="2:22">
      <c r="B343" s="39"/>
      <c r="C343" s="39"/>
      <c r="D343" s="39"/>
      <c r="E343" s="39"/>
      <c r="F343" s="40"/>
      <c r="G343" s="38"/>
      <c r="H343" s="43"/>
      <c r="I343" s="43"/>
      <c r="J343" s="39"/>
      <c r="K343" s="38"/>
      <c r="L343" s="39"/>
      <c r="M343" s="39"/>
      <c r="N343" s="43"/>
      <c r="O343" s="38"/>
      <c r="P343" s="38"/>
      <c r="Q343" s="41" t="str">
        <f ca="1">IF(emp_db[[#This Row],[Exit Date]]&lt;&gt;"",(emp_db[[#This Row],[Exit Date]]-emp_db[[#This Row],[Column1]])/365,IF(emp_db[[#This Row],[ID]]&lt;&gt;"",(TODAY()-emp_db[[#This Row],[Column1]])/365,""))</f>
        <v/>
      </c>
      <c r="R343" s="42" t="str">
        <f ca="1">IF(emp_db[[#This Row],[Date of Birth]]&lt;&gt;"",(TODAY()-emp_db[[#This Row],[Date of Birth]])/365,"")</f>
        <v/>
      </c>
      <c r="S343" s="42">
        <f>YEAR(emp_db[[#This Row],[Column1]])</f>
        <v>1900</v>
      </c>
      <c r="T343" s="42">
        <f>MONTH(emp_db[[#This Row],[Column1]])</f>
        <v>1</v>
      </c>
      <c r="U343" s="42">
        <f>IFERROR(YEAR(emp_db[[#This Row],[Exit Date]]),"")</f>
        <v>1900</v>
      </c>
      <c r="V343" s="42">
        <f>IFERROR(MONTH(emp_db[[#This Row],[Exit Date]]),"")</f>
        <v>1</v>
      </c>
    </row>
    <row r="344" spans="2:22">
      <c r="B344" s="39"/>
      <c r="C344" s="39"/>
      <c r="D344" s="39"/>
      <c r="E344" s="39"/>
      <c r="F344" s="40"/>
      <c r="G344" s="38"/>
      <c r="H344" s="43"/>
      <c r="I344" s="43"/>
      <c r="J344" s="39"/>
      <c r="K344" s="38"/>
      <c r="L344" s="39"/>
      <c r="M344" s="39"/>
      <c r="N344" s="43"/>
      <c r="O344" s="38"/>
      <c r="P344" s="38"/>
      <c r="Q344" s="41" t="str">
        <f ca="1">IF(emp_db[[#This Row],[Exit Date]]&lt;&gt;"",(emp_db[[#This Row],[Exit Date]]-emp_db[[#This Row],[Column1]])/365,IF(emp_db[[#This Row],[ID]]&lt;&gt;"",(TODAY()-emp_db[[#This Row],[Column1]])/365,""))</f>
        <v/>
      </c>
      <c r="R344" s="42" t="str">
        <f ca="1">IF(emp_db[[#This Row],[Date of Birth]]&lt;&gt;"",(TODAY()-emp_db[[#This Row],[Date of Birth]])/365,"")</f>
        <v/>
      </c>
      <c r="S344" s="42">
        <f>YEAR(emp_db[[#This Row],[Column1]])</f>
        <v>1900</v>
      </c>
      <c r="T344" s="42">
        <f>MONTH(emp_db[[#This Row],[Column1]])</f>
        <v>1</v>
      </c>
      <c r="U344" s="42">
        <f>IFERROR(YEAR(emp_db[[#This Row],[Exit Date]]),"")</f>
        <v>1900</v>
      </c>
      <c r="V344" s="42">
        <f>IFERROR(MONTH(emp_db[[#This Row],[Exit Date]]),"")</f>
        <v>1</v>
      </c>
    </row>
    <row r="345" spans="2:22">
      <c r="B345" s="39"/>
      <c r="C345" s="39"/>
      <c r="D345" s="39"/>
      <c r="E345" s="39"/>
      <c r="F345" s="40"/>
      <c r="G345" s="38"/>
      <c r="H345" s="43"/>
      <c r="I345" s="43"/>
      <c r="J345" s="39"/>
      <c r="K345" s="38"/>
      <c r="L345" s="39"/>
      <c r="M345" s="39"/>
      <c r="N345" s="43"/>
      <c r="O345" s="38"/>
      <c r="P345" s="38"/>
      <c r="Q345" s="41" t="str">
        <f ca="1">IF(emp_db[[#This Row],[Exit Date]]&lt;&gt;"",(emp_db[[#This Row],[Exit Date]]-emp_db[[#This Row],[Column1]])/365,IF(emp_db[[#This Row],[ID]]&lt;&gt;"",(TODAY()-emp_db[[#This Row],[Column1]])/365,""))</f>
        <v/>
      </c>
      <c r="R345" s="42" t="str">
        <f ca="1">IF(emp_db[[#This Row],[Date of Birth]]&lt;&gt;"",(TODAY()-emp_db[[#This Row],[Date of Birth]])/365,"")</f>
        <v/>
      </c>
      <c r="S345" s="42">
        <f>YEAR(emp_db[[#This Row],[Column1]])</f>
        <v>1900</v>
      </c>
      <c r="T345" s="42">
        <f>MONTH(emp_db[[#This Row],[Column1]])</f>
        <v>1</v>
      </c>
      <c r="U345" s="42">
        <f>IFERROR(YEAR(emp_db[[#This Row],[Exit Date]]),"")</f>
        <v>1900</v>
      </c>
      <c r="V345" s="42">
        <f>IFERROR(MONTH(emp_db[[#This Row],[Exit Date]]),"")</f>
        <v>1</v>
      </c>
    </row>
    <row r="346" spans="2:22">
      <c r="B346" s="39"/>
      <c r="C346" s="39"/>
      <c r="D346" s="39"/>
      <c r="E346" s="39"/>
      <c r="F346" s="40"/>
      <c r="G346" s="38"/>
      <c r="H346" s="43"/>
      <c r="I346" s="43"/>
      <c r="J346" s="39"/>
      <c r="K346" s="38"/>
      <c r="L346" s="39"/>
      <c r="M346" s="39"/>
      <c r="N346" s="43"/>
      <c r="O346" s="38"/>
      <c r="P346" s="38"/>
      <c r="Q346" s="41" t="str">
        <f ca="1">IF(emp_db[[#This Row],[Exit Date]]&lt;&gt;"",(emp_db[[#This Row],[Exit Date]]-emp_db[[#This Row],[Column1]])/365,IF(emp_db[[#This Row],[ID]]&lt;&gt;"",(TODAY()-emp_db[[#This Row],[Column1]])/365,""))</f>
        <v/>
      </c>
      <c r="R346" s="42" t="str">
        <f ca="1">IF(emp_db[[#This Row],[Date of Birth]]&lt;&gt;"",(TODAY()-emp_db[[#This Row],[Date of Birth]])/365,"")</f>
        <v/>
      </c>
      <c r="S346" s="42">
        <f>YEAR(emp_db[[#This Row],[Column1]])</f>
        <v>1900</v>
      </c>
      <c r="T346" s="42">
        <f>MONTH(emp_db[[#This Row],[Column1]])</f>
        <v>1</v>
      </c>
      <c r="U346" s="42">
        <f>IFERROR(YEAR(emp_db[[#This Row],[Exit Date]]),"")</f>
        <v>1900</v>
      </c>
      <c r="V346" s="42">
        <f>IFERROR(MONTH(emp_db[[#This Row],[Exit Date]]),"")</f>
        <v>1</v>
      </c>
    </row>
    <row r="347" spans="2:22">
      <c r="B347" s="39"/>
      <c r="C347" s="39"/>
      <c r="D347" s="39"/>
      <c r="E347" s="39"/>
      <c r="F347" s="40"/>
      <c r="G347" s="38"/>
      <c r="H347" s="43"/>
      <c r="I347" s="43"/>
      <c r="J347" s="39"/>
      <c r="K347" s="38"/>
      <c r="L347" s="39"/>
      <c r="M347" s="39"/>
      <c r="N347" s="43"/>
      <c r="O347" s="38"/>
      <c r="P347" s="38"/>
      <c r="Q347" s="41" t="str">
        <f ca="1">IF(emp_db[[#This Row],[Exit Date]]&lt;&gt;"",(emp_db[[#This Row],[Exit Date]]-emp_db[[#This Row],[Column1]])/365,IF(emp_db[[#This Row],[ID]]&lt;&gt;"",(TODAY()-emp_db[[#This Row],[Column1]])/365,""))</f>
        <v/>
      </c>
      <c r="R347" s="42" t="str">
        <f ca="1">IF(emp_db[[#This Row],[Date of Birth]]&lt;&gt;"",(TODAY()-emp_db[[#This Row],[Date of Birth]])/365,"")</f>
        <v/>
      </c>
      <c r="S347" s="42">
        <f>YEAR(emp_db[[#This Row],[Column1]])</f>
        <v>1900</v>
      </c>
      <c r="T347" s="42">
        <f>MONTH(emp_db[[#This Row],[Column1]])</f>
        <v>1</v>
      </c>
      <c r="U347" s="42">
        <f>IFERROR(YEAR(emp_db[[#This Row],[Exit Date]]),"")</f>
        <v>1900</v>
      </c>
      <c r="V347" s="42">
        <f>IFERROR(MONTH(emp_db[[#This Row],[Exit Date]]),"")</f>
        <v>1</v>
      </c>
    </row>
    <row r="348" spans="2:22">
      <c r="B348" s="39"/>
      <c r="C348" s="39"/>
      <c r="D348" s="39"/>
      <c r="E348" s="39"/>
      <c r="F348" s="40"/>
      <c r="G348" s="38"/>
      <c r="H348" s="43"/>
      <c r="I348" s="43"/>
      <c r="J348" s="39"/>
      <c r="K348" s="38"/>
      <c r="L348" s="39"/>
      <c r="M348" s="39"/>
      <c r="N348" s="43"/>
      <c r="O348" s="38"/>
      <c r="P348" s="38"/>
      <c r="Q348" s="41" t="str">
        <f ca="1">IF(emp_db[[#This Row],[Exit Date]]&lt;&gt;"",(emp_db[[#This Row],[Exit Date]]-emp_db[[#This Row],[Column1]])/365,IF(emp_db[[#This Row],[ID]]&lt;&gt;"",(TODAY()-emp_db[[#This Row],[Column1]])/365,""))</f>
        <v/>
      </c>
      <c r="R348" s="42" t="str">
        <f ca="1">IF(emp_db[[#This Row],[Date of Birth]]&lt;&gt;"",(TODAY()-emp_db[[#This Row],[Date of Birth]])/365,"")</f>
        <v/>
      </c>
      <c r="S348" s="42">
        <f>YEAR(emp_db[[#This Row],[Column1]])</f>
        <v>1900</v>
      </c>
      <c r="T348" s="42">
        <f>MONTH(emp_db[[#This Row],[Column1]])</f>
        <v>1</v>
      </c>
      <c r="U348" s="42">
        <f>IFERROR(YEAR(emp_db[[#This Row],[Exit Date]]),"")</f>
        <v>1900</v>
      </c>
      <c r="V348" s="42">
        <f>IFERROR(MONTH(emp_db[[#This Row],[Exit Date]]),"")</f>
        <v>1</v>
      </c>
    </row>
    <row r="349" spans="2:22">
      <c r="B349" s="39"/>
      <c r="C349" s="39"/>
      <c r="D349" s="39"/>
      <c r="E349" s="39"/>
      <c r="F349" s="40"/>
      <c r="G349" s="38"/>
      <c r="H349" s="43"/>
      <c r="I349" s="43"/>
      <c r="J349" s="39"/>
      <c r="K349" s="38"/>
      <c r="L349" s="39"/>
      <c r="M349" s="39"/>
      <c r="N349" s="43"/>
      <c r="O349" s="38"/>
      <c r="P349" s="38"/>
      <c r="Q349" s="41" t="str">
        <f ca="1">IF(emp_db[[#This Row],[Exit Date]]&lt;&gt;"",(emp_db[[#This Row],[Exit Date]]-emp_db[[#This Row],[Column1]])/365,IF(emp_db[[#This Row],[ID]]&lt;&gt;"",(TODAY()-emp_db[[#This Row],[Column1]])/365,""))</f>
        <v/>
      </c>
      <c r="R349" s="42" t="str">
        <f ca="1">IF(emp_db[[#This Row],[Date of Birth]]&lt;&gt;"",(TODAY()-emp_db[[#This Row],[Date of Birth]])/365,"")</f>
        <v/>
      </c>
      <c r="S349" s="42">
        <f>YEAR(emp_db[[#This Row],[Column1]])</f>
        <v>1900</v>
      </c>
      <c r="T349" s="42">
        <f>MONTH(emp_db[[#This Row],[Column1]])</f>
        <v>1</v>
      </c>
      <c r="U349" s="42">
        <f>IFERROR(YEAR(emp_db[[#This Row],[Exit Date]]),"")</f>
        <v>1900</v>
      </c>
      <c r="V349" s="42">
        <f>IFERROR(MONTH(emp_db[[#This Row],[Exit Date]]),"")</f>
        <v>1</v>
      </c>
    </row>
    <row r="350" spans="2:22">
      <c r="B350" s="39"/>
      <c r="C350" s="39"/>
      <c r="D350" s="39"/>
      <c r="E350" s="39"/>
      <c r="F350" s="40"/>
      <c r="G350" s="38"/>
      <c r="H350" s="43"/>
      <c r="I350" s="43"/>
      <c r="J350" s="39"/>
      <c r="K350" s="38"/>
      <c r="L350" s="39"/>
      <c r="M350" s="39"/>
      <c r="N350" s="43"/>
      <c r="O350" s="38"/>
      <c r="P350" s="38"/>
      <c r="Q350" s="41" t="str">
        <f ca="1">IF(emp_db[[#This Row],[Exit Date]]&lt;&gt;"",(emp_db[[#This Row],[Exit Date]]-emp_db[[#This Row],[Column1]])/365,IF(emp_db[[#This Row],[ID]]&lt;&gt;"",(TODAY()-emp_db[[#This Row],[Column1]])/365,""))</f>
        <v/>
      </c>
      <c r="R350" s="42" t="str">
        <f ca="1">IF(emp_db[[#This Row],[Date of Birth]]&lt;&gt;"",(TODAY()-emp_db[[#This Row],[Date of Birth]])/365,"")</f>
        <v/>
      </c>
      <c r="S350" s="42">
        <f>YEAR(emp_db[[#This Row],[Column1]])</f>
        <v>1900</v>
      </c>
      <c r="T350" s="42">
        <f>MONTH(emp_db[[#This Row],[Column1]])</f>
        <v>1</v>
      </c>
      <c r="U350" s="42">
        <f>IFERROR(YEAR(emp_db[[#This Row],[Exit Date]]),"")</f>
        <v>1900</v>
      </c>
      <c r="V350" s="42">
        <f>IFERROR(MONTH(emp_db[[#This Row],[Exit Date]]),"")</f>
        <v>1</v>
      </c>
    </row>
    <row r="351" spans="2:22">
      <c r="B351" s="39"/>
      <c r="C351" s="39"/>
      <c r="D351" s="39"/>
      <c r="E351" s="39"/>
      <c r="F351" s="40"/>
      <c r="G351" s="38"/>
      <c r="H351" s="43"/>
      <c r="I351" s="43"/>
      <c r="J351" s="39"/>
      <c r="K351" s="38"/>
      <c r="L351" s="39"/>
      <c r="M351" s="39"/>
      <c r="N351" s="43"/>
      <c r="O351" s="38"/>
      <c r="P351" s="38"/>
      <c r="Q351" s="41" t="str">
        <f ca="1">IF(emp_db[[#This Row],[Exit Date]]&lt;&gt;"",(emp_db[[#This Row],[Exit Date]]-emp_db[[#This Row],[Column1]])/365,IF(emp_db[[#This Row],[ID]]&lt;&gt;"",(TODAY()-emp_db[[#This Row],[Column1]])/365,""))</f>
        <v/>
      </c>
      <c r="R351" s="42" t="str">
        <f ca="1">IF(emp_db[[#This Row],[Date of Birth]]&lt;&gt;"",(TODAY()-emp_db[[#This Row],[Date of Birth]])/365,"")</f>
        <v/>
      </c>
      <c r="S351" s="42">
        <f>YEAR(emp_db[[#This Row],[Column1]])</f>
        <v>1900</v>
      </c>
      <c r="T351" s="42">
        <f>MONTH(emp_db[[#This Row],[Column1]])</f>
        <v>1</v>
      </c>
      <c r="U351" s="42">
        <f>IFERROR(YEAR(emp_db[[#This Row],[Exit Date]]),"")</f>
        <v>1900</v>
      </c>
      <c r="V351" s="42">
        <f>IFERROR(MONTH(emp_db[[#This Row],[Exit Date]]),"")</f>
        <v>1</v>
      </c>
    </row>
    <row r="352" spans="2:22">
      <c r="B352" s="39"/>
      <c r="C352" s="39"/>
      <c r="D352" s="39"/>
      <c r="E352" s="39"/>
      <c r="F352" s="40"/>
      <c r="G352" s="38"/>
      <c r="H352" s="43"/>
      <c r="I352" s="43"/>
      <c r="J352" s="39"/>
      <c r="K352" s="38"/>
      <c r="L352" s="39"/>
      <c r="M352" s="39"/>
      <c r="N352" s="43"/>
      <c r="O352" s="38"/>
      <c r="P352" s="38"/>
      <c r="Q352" s="41" t="str">
        <f ca="1">IF(emp_db[[#This Row],[Exit Date]]&lt;&gt;"",(emp_db[[#This Row],[Exit Date]]-emp_db[[#This Row],[Column1]])/365,IF(emp_db[[#This Row],[ID]]&lt;&gt;"",(TODAY()-emp_db[[#This Row],[Column1]])/365,""))</f>
        <v/>
      </c>
      <c r="R352" s="42" t="str">
        <f ca="1">IF(emp_db[[#This Row],[Date of Birth]]&lt;&gt;"",(TODAY()-emp_db[[#This Row],[Date of Birth]])/365,"")</f>
        <v/>
      </c>
      <c r="S352" s="42">
        <f>YEAR(emp_db[[#This Row],[Column1]])</f>
        <v>1900</v>
      </c>
      <c r="T352" s="42">
        <f>MONTH(emp_db[[#This Row],[Column1]])</f>
        <v>1</v>
      </c>
      <c r="U352" s="42">
        <f>IFERROR(YEAR(emp_db[[#This Row],[Exit Date]]),"")</f>
        <v>1900</v>
      </c>
      <c r="V352" s="42">
        <f>IFERROR(MONTH(emp_db[[#This Row],[Exit Date]]),"")</f>
        <v>1</v>
      </c>
    </row>
    <row r="353" spans="2:22">
      <c r="B353" s="39"/>
      <c r="C353" s="39"/>
      <c r="D353" s="39"/>
      <c r="E353" s="39"/>
      <c r="F353" s="40"/>
      <c r="G353" s="38"/>
      <c r="H353" s="43"/>
      <c r="I353" s="43"/>
      <c r="J353" s="39"/>
      <c r="K353" s="38"/>
      <c r="L353" s="39"/>
      <c r="M353" s="39"/>
      <c r="N353" s="43"/>
      <c r="O353" s="38"/>
      <c r="P353" s="38"/>
      <c r="Q353" s="41" t="str">
        <f ca="1">IF(emp_db[[#This Row],[Exit Date]]&lt;&gt;"",(emp_db[[#This Row],[Exit Date]]-emp_db[[#This Row],[Column1]])/365,IF(emp_db[[#This Row],[ID]]&lt;&gt;"",(TODAY()-emp_db[[#This Row],[Column1]])/365,""))</f>
        <v/>
      </c>
      <c r="R353" s="42" t="str">
        <f ca="1">IF(emp_db[[#This Row],[Date of Birth]]&lt;&gt;"",(TODAY()-emp_db[[#This Row],[Date of Birth]])/365,"")</f>
        <v/>
      </c>
      <c r="S353" s="42">
        <f>YEAR(emp_db[[#This Row],[Column1]])</f>
        <v>1900</v>
      </c>
      <c r="T353" s="42">
        <f>MONTH(emp_db[[#This Row],[Column1]])</f>
        <v>1</v>
      </c>
      <c r="U353" s="42">
        <f>IFERROR(YEAR(emp_db[[#This Row],[Exit Date]]),"")</f>
        <v>1900</v>
      </c>
      <c r="V353" s="42">
        <f>IFERROR(MONTH(emp_db[[#This Row],[Exit Date]]),"")</f>
        <v>1</v>
      </c>
    </row>
    <row r="354" spans="2:22">
      <c r="B354" s="39"/>
      <c r="C354" s="39"/>
      <c r="D354" s="39"/>
      <c r="E354" s="39"/>
      <c r="F354" s="40"/>
      <c r="G354" s="38"/>
      <c r="H354" s="43"/>
      <c r="I354" s="43"/>
      <c r="J354" s="39"/>
      <c r="K354" s="38"/>
      <c r="L354" s="39"/>
      <c r="M354" s="39"/>
      <c r="N354" s="43"/>
      <c r="O354" s="38"/>
      <c r="P354" s="38"/>
      <c r="Q354" s="41" t="str">
        <f ca="1">IF(emp_db[[#This Row],[Exit Date]]&lt;&gt;"",(emp_db[[#This Row],[Exit Date]]-emp_db[[#This Row],[Column1]])/365,IF(emp_db[[#This Row],[ID]]&lt;&gt;"",(TODAY()-emp_db[[#This Row],[Column1]])/365,""))</f>
        <v/>
      </c>
      <c r="R354" s="42" t="str">
        <f ca="1">IF(emp_db[[#This Row],[Date of Birth]]&lt;&gt;"",(TODAY()-emp_db[[#This Row],[Date of Birth]])/365,"")</f>
        <v/>
      </c>
      <c r="S354" s="42">
        <f>YEAR(emp_db[[#This Row],[Column1]])</f>
        <v>1900</v>
      </c>
      <c r="T354" s="42">
        <f>MONTH(emp_db[[#This Row],[Column1]])</f>
        <v>1</v>
      </c>
      <c r="U354" s="42">
        <f>IFERROR(YEAR(emp_db[[#This Row],[Exit Date]]),"")</f>
        <v>1900</v>
      </c>
      <c r="V354" s="42">
        <f>IFERROR(MONTH(emp_db[[#This Row],[Exit Date]]),"")</f>
        <v>1</v>
      </c>
    </row>
    <row r="355" spans="2:22">
      <c r="B355" s="39"/>
      <c r="C355" s="39"/>
      <c r="D355" s="39"/>
      <c r="E355" s="39"/>
      <c r="F355" s="40"/>
      <c r="G355" s="38"/>
      <c r="H355" s="43"/>
      <c r="I355" s="43"/>
      <c r="J355" s="39"/>
      <c r="K355" s="38"/>
      <c r="L355" s="39"/>
      <c r="M355" s="39"/>
      <c r="N355" s="43"/>
      <c r="O355" s="38"/>
      <c r="P355" s="38"/>
      <c r="Q355" s="41" t="str">
        <f ca="1">IF(emp_db[[#This Row],[Exit Date]]&lt;&gt;"",(emp_db[[#This Row],[Exit Date]]-emp_db[[#This Row],[Column1]])/365,IF(emp_db[[#This Row],[ID]]&lt;&gt;"",(TODAY()-emp_db[[#This Row],[Column1]])/365,""))</f>
        <v/>
      </c>
      <c r="R355" s="42" t="str">
        <f ca="1">IF(emp_db[[#This Row],[Date of Birth]]&lt;&gt;"",(TODAY()-emp_db[[#This Row],[Date of Birth]])/365,"")</f>
        <v/>
      </c>
      <c r="S355" s="42">
        <f>YEAR(emp_db[[#This Row],[Column1]])</f>
        <v>1900</v>
      </c>
      <c r="T355" s="42">
        <f>MONTH(emp_db[[#This Row],[Column1]])</f>
        <v>1</v>
      </c>
      <c r="U355" s="42">
        <f>IFERROR(YEAR(emp_db[[#This Row],[Exit Date]]),"")</f>
        <v>1900</v>
      </c>
      <c r="V355" s="42">
        <f>IFERROR(MONTH(emp_db[[#This Row],[Exit Date]]),"")</f>
        <v>1</v>
      </c>
    </row>
    <row r="356" spans="2:22">
      <c r="B356" s="39"/>
      <c r="C356" s="39"/>
      <c r="D356" s="39"/>
      <c r="E356" s="39"/>
      <c r="F356" s="40"/>
      <c r="G356" s="38"/>
      <c r="H356" s="43"/>
      <c r="I356" s="43"/>
      <c r="J356" s="39"/>
      <c r="K356" s="38"/>
      <c r="L356" s="39"/>
      <c r="M356" s="39"/>
      <c r="N356" s="43"/>
      <c r="O356" s="38"/>
      <c r="P356" s="38"/>
      <c r="Q356" s="41" t="str">
        <f ca="1">IF(emp_db[[#This Row],[Exit Date]]&lt;&gt;"",(emp_db[[#This Row],[Exit Date]]-emp_db[[#This Row],[Column1]])/365,IF(emp_db[[#This Row],[ID]]&lt;&gt;"",(TODAY()-emp_db[[#This Row],[Column1]])/365,""))</f>
        <v/>
      </c>
      <c r="R356" s="42" t="str">
        <f ca="1">IF(emp_db[[#This Row],[Date of Birth]]&lt;&gt;"",(TODAY()-emp_db[[#This Row],[Date of Birth]])/365,"")</f>
        <v/>
      </c>
      <c r="S356" s="42">
        <f>YEAR(emp_db[[#This Row],[Column1]])</f>
        <v>1900</v>
      </c>
      <c r="T356" s="42">
        <f>MONTH(emp_db[[#This Row],[Column1]])</f>
        <v>1</v>
      </c>
      <c r="U356" s="42">
        <f>IFERROR(YEAR(emp_db[[#This Row],[Exit Date]]),"")</f>
        <v>1900</v>
      </c>
      <c r="V356" s="42">
        <f>IFERROR(MONTH(emp_db[[#This Row],[Exit Date]]),"")</f>
        <v>1</v>
      </c>
    </row>
    <row r="357" spans="2:22">
      <c r="B357" s="39"/>
      <c r="C357" s="39"/>
      <c r="D357" s="39"/>
      <c r="E357" s="39"/>
      <c r="F357" s="40"/>
      <c r="G357" s="38"/>
      <c r="H357" s="43"/>
      <c r="I357" s="43"/>
      <c r="J357" s="39"/>
      <c r="K357" s="38"/>
      <c r="L357" s="39"/>
      <c r="M357" s="39"/>
      <c r="N357" s="43"/>
      <c r="O357" s="38"/>
      <c r="P357" s="38"/>
      <c r="Q357" s="41" t="str">
        <f ca="1">IF(emp_db[[#This Row],[Exit Date]]&lt;&gt;"",(emp_db[[#This Row],[Exit Date]]-emp_db[[#This Row],[Column1]])/365,IF(emp_db[[#This Row],[ID]]&lt;&gt;"",(TODAY()-emp_db[[#This Row],[Column1]])/365,""))</f>
        <v/>
      </c>
      <c r="R357" s="42" t="str">
        <f ca="1">IF(emp_db[[#This Row],[Date of Birth]]&lt;&gt;"",(TODAY()-emp_db[[#This Row],[Date of Birth]])/365,"")</f>
        <v/>
      </c>
      <c r="S357" s="42">
        <f>YEAR(emp_db[[#This Row],[Column1]])</f>
        <v>1900</v>
      </c>
      <c r="T357" s="42">
        <f>MONTH(emp_db[[#This Row],[Column1]])</f>
        <v>1</v>
      </c>
      <c r="U357" s="42">
        <f>IFERROR(YEAR(emp_db[[#This Row],[Exit Date]]),"")</f>
        <v>1900</v>
      </c>
      <c r="V357" s="42">
        <f>IFERROR(MONTH(emp_db[[#This Row],[Exit Date]]),"")</f>
        <v>1</v>
      </c>
    </row>
    <row r="358" spans="2:22">
      <c r="B358" s="39"/>
      <c r="C358" s="39"/>
      <c r="D358" s="39"/>
      <c r="E358" s="39"/>
      <c r="F358" s="40"/>
      <c r="G358" s="38"/>
      <c r="H358" s="43"/>
      <c r="I358" s="43"/>
      <c r="J358" s="39"/>
      <c r="K358" s="38"/>
      <c r="L358" s="39"/>
      <c r="M358" s="39"/>
      <c r="N358" s="43"/>
      <c r="O358" s="38"/>
      <c r="P358" s="38"/>
      <c r="Q358" s="41" t="str">
        <f ca="1">IF(emp_db[[#This Row],[Exit Date]]&lt;&gt;"",(emp_db[[#This Row],[Exit Date]]-emp_db[[#This Row],[Column1]])/365,IF(emp_db[[#This Row],[ID]]&lt;&gt;"",(TODAY()-emp_db[[#This Row],[Column1]])/365,""))</f>
        <v/>
      </c>
      <c r="R358" s="42" t="str">
        <f ca="1">IF(emp_db[[#This Row],[Date of Birth]]&lt;&gt;"",(TODAY()-emp_db[[#This Row],[Date of Birth]])/365,"")</f>
        <v/>
      </c>
      <c r="S358" s="42">
        <f>YEAR(emp_db[[#This Row],[Column1]])</f>
        <v>1900</v>
      </c>
      <c r="T358" s="42">
        <f>MONTH(emp_db[[#This Row],[Column1]])</f>
        <v>1</v>
      </c>
      <c r="U358" s="42">
        <f>IFERROR(YEAR(emp_db[[#This Row],[Exit Date]]),"")</f>
        <v>1900</v>
      </c>
      <c r="V358" s="42">
        <f>IFERROR(MONTH(emp_db[[#This Row],[Exit Date]]),"")</f>
        <v>1</v>
      </c>
    </row>
    <row r="359" spans="2:22">
      <c r="B359" s="39"/>
      <c r="C359" s="39"/>
      <c r="D359" s="39"/>
      <c r="E359" s="39"/>
      <c r="F359" s="40"/>
      <c r="G359" s="38"/>
      <c r="H359" s="43"/>
      <c r="I359" s="43"/>
      <c r="J359" s="39"/>
      <c r="K359" s="38"/>
      <c r="L359" s="39"/>
      <c r="M359" s="39"/>
      <c r="N359" s="43"/>
      <c r="O359" s="38"/>
      <c r="P359" s="38"/>
      <c r="Q359" s="41" t="str">
        <f ca="1">IF(emp_db[[#This Row],[Exit Date]]&lt;&gt;"",(emp_db[[#This Row],[Exit Date]]-emp_db[[#This Row],[Column1]])/365,IF(emp_db[[#This Row],[ID]]&lt;&gt;"",(TODAY()-emp_db[[#This Row],[Column1]])/365,""))</f>
        <v/>
      </c>
      <c r="R359" s="42" t="str">
        <f ca="1">IF(emp_db[[#This Row],[Date of Birth]]&lt;&gt;"",(TODAY()-emp_db[[#This Row],[Date of Birth]])/365,"")</f>
        <v/>
      </c>
      <c r="S359" s="42">
        <f>YEAR(emp_db[[#This Row],[Column1]])</f>
        <v>1900</v>
      </c>
      <c r="T359" s="42">
        <f>MONTH(emp_db[[#This Row],[Column1]])</f>
        <v>1</v>
      </c>
      <c r="U359" s="42">
        <f>IFERROR(YEAR(emp_db[[#This Row],[Exit Date]]),"")</f>
        <v>1900</v>
      </c>
      <c r="V359" s="42">
        <f>IFERROR(MONTH(emp_db[[#This Row],[Exit Date]]),"")</f>
        <v>1</v>
      </c>
    </row>
    <row r="360" spans="2:22">
      <c r="B360" s="39"/>
      <c r="C360" s="39"/>
      <c r="D360" s="39"/>
      <c r="E360" s="39"/>
      <c r="F360" s="40"/>
      <c r="G360" s="38"/>
      <c r="H360" s="43"/>
      <c r="I360" s="43"/>
      <c r="J360" s="39"/>
      <c r="K360" s="38"/>
      <c r="L360" s="39"/>
      <c r="M360" s="39"/>
      <c r="N360" s="43"/>
      <c r="O360" s="38"/>
      <c r="P360" s="38"/>
      <c r="Q360" s="41" t="str">
        <f ca="1">IF(emp_db[[#This Row],[Exit Date]]&lt;&gt;"",(emp_db[[#This Row],[Exit Date]]-emp_db[[#This Row],[Column1]])/365,IF(emp_db[[#This Row],[ID]]&lt;&gt;"",(TODAY()-emp_db[[#This Row],[Column1]])/365,""))</f>
        <v/>
      </c>
      <c r="R360" s="42" t="str">
        <f ca="1">IF(emp_db[[#This Row],[Date of Birth]]&lt;&gt;"",(TODAY()-emp_db[[#This Row],[Date of Birth]])/365,"")</f>
        <v/>
      </c>
      <c r="S360" s="42">
        <f>YEAR(emp_db[[#This Row],[Column1]])</f>
        <v>1900</v>
      </c>
      <c r="T360" s="42">
        <f>MONTH(emp_db[[#This Row],[Column1]])</f>
        <v>1</v>
      </c>
      <c r="U360" s="42">
        <f>IFERROR(YEAR(emp_db[[#This Row],[Exit Date]]),"")</f>
        <v>1900</v>
      </c>
      <c r="V360" s="42">
        <f>IFERROR(MONTH(emp_db[[#This Row],[Exit Date]]),"")</f>
        <v>1</v>
      </c>
    </row>
    <row r="361" spans="2:22">
      <c r="B361" s="39"/>
      <c r="C361" s="39"/>
      <c r="D361" s="39"/>
      <c r="E361" s="39"/>
      <c r="F361" s="40"/>
      <c r="G361" s="38"/>
      <c r="H361" s="43"/>
      <c r="I361" s="43"/>
      <c r="J361" s="39"/>
      <c r="K361" s="38"/>
      <c r="L361" s="39"/>
      <c r="M361" s="39"/>
      <c r="N361" s="43"/>
      <c r="O361" s="38"/>
      <c r="P361" s="38"/>
      <c r="Q361" s="41" t="str">
        <f ca="1">IF(emp_db[[#This Row],[Exit Date]]&lt;&gt;"",(emp_db[[#This Row],[Exit Date]]-emp_db[[#This Row],[Column1]])/365,IF(emp_db[[#This Row],[ID]]&lt;&gt;"",(TODAY()-emp_db[[#This Row],[Column1]])/365,""))</f>
        <v/>
      </c>
      <c r="R361" s="42" t="str">
        <f ca="1">IF(emp_db[[#This Row],[Date of Birth]]&lt;&gt;"",(TODAY()-emp_db[[#This Row],[Date of Birth]])/365,"")</f>
        <v/>
      </c>
      <c r="S361" s="42">
        <f>YEAR(emp_db[[#This Row],[Column1]])</f>
        <v>1900</v>
      </c>
      <c r="T361" s="42">
        <f>MONTH(emp_db[[#This Row],[Column1]])</f>
        <v>1</v>
      </c>
      <c r="U361" s="42">
        <f>IFERROR(YEAR(emp_db[[#This Row],[Exit Date]]),"")</f>
        <v>1900</v>
      </c>
      <c r="V361" s="42">
        <f>IFERROR(MONTH(emp_db[[#This Row],[Exit Date]]),"")</f>
        <v>1</v>
      </c>
    </row>
    <row r="362" spans="2:22">
      <c r="B362" s="39"/>
      <c r="C362" s="39"/>
      <c r="D362" s="39"/>
      <c r="E362" s="39"/>
      <c r="F362" s="40"/>
      <c r="G362" s="38"/>
      <c r="H362" s="43"/>
      <c r="I362" s="43"/>
      <c r="J362" s="39"/>
      <c r="K362" s="38"/>
      <c r="L362" s="39"/>
      <c r="M362" s="39"/>
      <c r="N362" s="43"/>
      <c r="O362" s="38"/>
      <c r="P362" s="38"/>
      <c r="Q362" s="41" t="str">
        <f ca="1">IF(emp_db[[#This Row],[Exit Date]]&lt;&gt;"",(emp_db[[#This Row],[Exit Date]]-emp_db[[#This Row],[Column1]])/365,IF(emp_db[[#This Row],[ID]]&lt;&gt;"",(TODAY()-emp_db[[#This Row],[Column1]])/365,""))</f>
        <v/>
      </c>
      <c r="R362" s="42" t="str">
        <f ca="1">IF(emp_db[[#This Row],[Date of Birth]]&lt;&gt;"",(TODAY()-emp_db[[#This Row],[Date of Birth]])/365,"")</f>
        <v/>
      </c>
      <c r="S362" s="42">
        <f>YEAR(emp_db[[#This Row],[Column1]])</f>
        <v>1900</v>
      </c>
      <c r="T362" s="42">
        <f>MONTH(emp_db[[#This Row],[Column1]])</f>
        <v>1</v>
      </c>
      <c r="U362" s="42">
        <f>IFERROR(YEAR(emp_db[[#This Row],[Exit Date]]),"")</f>
        <v>1900</v>
      </c>
      <c r="V362" s="42">
        <f>IFERROR(MONTH(emp_db[[#This Row],[Exit Date]]),"")</f>
        <v>1</v>
      </c>
    </row>
    <row r="363" spans="2:22">
      <c r="B363" s="39"/>
      <c r="C363" s="39"/>
      <c r="D363" s="39"/>
      <c r="E363" s="39"/>
      <c r="F363" s="40"/>
      <c r="G363" s="38"/>
      <c r="H363" s="43"/>
      <c r="I363" s="43"/>
      <c r="J363" s="39"/>
      <c r="K363" s="38"/>
      <c r="L363" s="39"/>
      <c r="M363" s="39"/>
      <c r="N363" s="43"/>
      <c r="O363" s="38"/>
      <c r="P363" s="38"/>
      <c r="Q363" s="41" t="str">
        <f ca="1">IF(emp_db[[#This Row],[Exit Date]]&lt;&gt;"",(emp_db[[#This Row],[Exit Date]]-emp_db[[#This Row],[Column1]])/365,IF(emp_db[[#This Row],[ID]]&lt;&gt;"",(TODAY()-emp_db[[#This Row],[Column1]])/365,""))</f>
        <v/>
      </c>
      <c r="R363" s="42" t="str">
        <f ca="1">IF(emp_db[[#This Row],[Date of Birth]]&lt;&gt;"",(TODAY()-emp_db[[#This Row],[Date of Birth]])/365,"")</f>
        <v/>
      </c>
      <c r="S363" s="42">
        <f>YEAR(emp_db[[#This Row],[Column1]])</f>
        <v>1900</v>
      </c>
      <c r="T363" s="42">
        <f>MONTH(emp_db[[#This Row],[Column1]])</f>
        <v>1</v>
      </c>
      <c r="U363" s="42">
        <f>IFERROR(YEAR(emp_db[[#This Row],[Exit Date]]),"")</f>
        <v>1900</v>
      </c>
      <c r="V363" s="42">
        <f>IFERROR(MONTH(emp_db[[#This Row],[Exit Date]]),"")</f>
        <v>1</v>
      </c>
    </row>
    <row r="364" spans="2:22">
      <c r="B364" s="39"/>
      <c r="C364" s="39"/>
      <c r="D364" s="39"/>
      <c r="E364" s="39"/>
      <c r="F364" s="40"/>
      <c r="G364" s="38"/>
      <c r="H364" s="43"/>
      <c r="I364" s="43"/>
      <c r="J364" s="39"/>
      <c r="K364" s="38"/>
      <c r="L364" s="39"/>
      <c r="M364" s="39"/>
      <c r="N364" s="43"/>
      <c r="O364" s="38"/>
      <c r="P364" s="38"/>
      <c r="Q364" s="41" t="str">
        <f ca="1">IF(emp_db[[#This Row],[Exit Date]]&lt;&gt;"",(emp_db[[#This Row],[Exit Date]]-emp_db[[#This Row],[Column1]])/365,IF(emp_db[[#This Row],[ID]]&lt;&gt;"",(TODAY()-emp_db[[#This Row],[Column1]])/365,""))</f>
        <v/>
      </c>
      <c r="R364" s="42" t="str">
        <f ca="1">IF(emp_db[[#This Row],[Date of Birth]]&lt;&gt;"",(TODAY()-emp_db[[#This Row],[Date of Birth]])/365,"")</f>
        <v/>
      </c>
      <c r="S364" s="42">
        <f>YEAR(emp_db[[#This Row],[Column1]])</f>
        <v>1900</v>
      </c>
      <c r="T364" s="42">
        <f>MONTH(emp_db[[#This Row],[Column1]])</f>
        <v>1</v>
      </c>
      <c r="U364" s="42">
        <f>IFERROR(YEAR(emp_db[[#This Row],[Exit Date]]),"")</f>
        <v>1900</v>
      </c>
      <c r="V364" s="42">
        <f>IFERROR(MONTH(emp_db[[#This Row],[Exit Date]]),"")</f>
        <v>1</v>
      </c>
    </row>
    <row r="365" spans="2:22">
      <c r="B365" s="39"/>
      <c r="C365" s="39"/>
      <c r="D365" s="39"/>
      <c r="E365" s="39"/>
      <c r="F365" s="40"/>
      <c r="G365" s="38"/>
      <c r="H365" s="43"/>
      <c r="I365" s="43"/>
      <c r="J365" s="39"/>
      <c r="K365" s="38"/>
      <c r="L365" s="39"/>
      <c r="M365" s="39"/>
      <c r="N365" s="43"/>
      <c r="O365" s="38"/>
      <c r="P365" s="38"/>
      <c r="Q365" s="41" t="str">
        <f ca="1">IF(emp_db[[#This Row],[Exit Date]]&lt;&gt;"",(emp_db[[#This Row],[Exit Date]]-emp_db[[#This Row],[Column1]])/365,IF(emp_db[[#This Row],[ID]]&lt;&gt;"",(TODAY()-emp_db[[#This Row],[Column1]])/365,""))</f>
        <v/>
      </c>
      <c r="R365" s="42" t="str">
        <f ca="1">IF(emp_db[[#This Row],[Date of Birth]]&lt;&gt;"",(TODAY()-emp_db[[#This Row],[Date of Birth]])/365,"")</f>
        <v/>
      </c>
      <c r="S365" s="42">
        <f>YEAR(emp_db[[#This Row],[Column1]])</f>
        <v>1900</v>
      </c>
      <c r="T365" s="42">
        <f>MONTH(emp_db[[#This Row],[Column1]])</f>
        <v>1</v>
      </c>
      <c r="U365" s="42">
        <f>IFERROR(YEAR(emp_db[[#This Row],[Exit Date]]),"")</f>
        <v>1900</v>
      </c>
      <c r="V365" s="42">
        <f>IFERROR(MONTH(emp_db[[#This Row],[Exit Date]]),"")</f>
        <v>1</v>
      </c>
    </row>
    <row r="366" spans="2:22">
      <c r="B366" s="39"/>
      <c r="C366" s="39"/>
      <c r="D366" s="39"/>
      <c r="E366" s="39"/>
      <c r="F366" s="40"/>
      <c r="G366" s="38"/>
      <c r="H366" s="43"/>
      <c r="I366" s="43"/>
      <c r="J366" s="39"/>
      <c r="K366" s="38"/>
      <c r="L366" s="39"/>
      <c r="M366" s="39"/>
      <c r="N366" s="43"/>
      <c r="O366" s="38"/>
      <c r="P366" s="38"/>
      <c r="Q366" s="41" t="str">
        <f ca="1">IF(emp_db[[#This Row],[Exit Date]]&lt;&gt;"",(emp_db[[#This Row],[Exit Date]]-emp_db[[#This Row],[Column1]])/365,IF(emp_db[[#This Row],[ID]]&lt;&gt;"",(TODAY()-emp_db[[#This Row],[Column1]])/365,""))</f>
        <v/>
      </c>
      <c r="R366" s="42" t="str">
        <f ca="1">IF(emp_db[[#This Row],[Date of Birth]]&lt;&gt;"",(TODAY()-emp_db[[#This Row],[Date of Birth]])/365,"")</f>
        <v/>
      </c>
      <c r="S366" s="42">
        <f>YEAR(emp_db[[#This Row],[Column1]])</f>
        <v>1900</v>
      </c>
      <c r="T366" s="42">
        <f>MONTH(emp_db[[#This Row],[Column1]])</f>
        <v>1</v>
      </c>
      <c r="U366" s="42">
        <f>IFERROR(YEAR(emp_db[[#This Row],[Exit Date]]),"")</f>
        <v>1900</v>
      </c>
      <c r="V366" s="42">
        <f>IFERROR(MONTH(emp_db[[#This Row],[Exit Date]]),"")</f>
        <v>1</v>
      </c>
    </row>
    <row r="367" spans="2:22">
      <c r="B367" s="39"/>
      <c r="C367" s="39"/>
      <c r="D367" s="39"/>
      <c r="E367" s="39"/>
      <c r="F367" s="40"/>
      <c r="G367" s="38"/>
      <c r="H367" s="43"/>
      <c r="I367" s="43"/>
      <c r="J367" s="39"/>
      <c r="K367" s="38"/>
      <c r="L367" s="39"/>
      <c r="M367" s="39"/>
      <c r="N367" s="43"/>
      <c r="O367" s="38"/>
      <c r="P367" s="38"/>
      <c r="Q367" s="41" t="str">
        <f ca="1">IF(emp_db[[#This Row],[Exit Date]]&lt;&gt;"",(emp_db[[#This Row],[Exit Date]]-emp_db[[#This Row],[Column1]])/365,IF(emp_db[[#This Row],[ID]]&lt;&gt;"",(TODAY()-emp_db[[#This Row],[Column1]])/365,""))</f>
        <v/>
      </c>
      <c r="R367" s="42" t="str">
        <f ca="1">IF(emp_db[[#This Row],[Date of Birth]]&lt;&gt;"",(TODAY()-emp_db[[#This Row],[Date of Birth]])/365,"")</f>
        <v/>
      </c>
      <c r="S367" s="42">
        <f>YEAR(emp_db[[#This Row],[Column1]])</f>
        <v>1900</v>
      </c>
      <c r="T367" s="42">
        <f>MONTH(emp_db[[#This Row],[Column1]])</f>
        <v>1</v>
      </c>
      <c r="U367" s="42">
        <f>IFERROR(YEAR(emp_db[[#This Row],[Exit Date]]),"")</f>
        <v>1900</v>
      </c>
      <c r="V367" s="42">
        <f>IFERROR(MONTH(emp_db[[#This Row],[Exit Date]]),"")</f>
        <v>1</v>
      </c>
    </row>
    <row r="368" spans="2:22">
      <c r="B368" s="39"/>
      <c r="C368" s="39"/>
      <c r="D368" s="39"/>
      <c r="E368" s="39"/>
      <c r="F368" s="40"/>
      <c r="G368" s="38"/>
      <c r="H368" s="43"/>
      <c r="I368" s="43"/>
      <c r="J368" s="39"/>
      <c r="K368" s="38"/>
      <c r="L368" s="39"/>
      <c r="M368" s="39"/>
      <c r="N368" s="43"/>
      <c r="O368" s="38"/>
      <c r="P368" s="38"/>
      <c r="Q368" s="41" t="str">
        <f ca="1">IF(emp_db[[#This Row],[Exit Date]]&lt;&gt;"",(emp_db[[#This Row],[Exit Date]]-emp_db[[#This Row],[Column1]])/365,IF(emp_db[[#This Row],[ID]]&lt;&gt;"",(TODAY()-emp_db[[#This Row],[Column1]])/365,""))</f>
        <v/>
      </c>
      <c r="R368" s="42" t="str">
        <f ca="1">IF(emp_db[[#This Row],[Date of Birth]]&lt;&gt;"",(TODAY()-emp_db[[#This Row],[Date of Birth]])/365,"")</f>
        <v/>
      </c>
      <c r="S368" s="42">
        <f>YEAR(emp_db[[#This Row],[Column1]])</f>
        <v>1900</v>
      </c>
      <c r="T368" s="42">
        <f>MONTH(emp_db[[#This Row],[Column1]])</f>
        <v>1</v>
      </c>
      <c r="U368" s="42">
        <f>IFERROR(YEAR(emp_db[[#This Row],[Exit Date]]),"")</f>
        <v>1900</v>
      </c>
      <c r="V368" s="42">
        <f>IFERROR(MONTH(emp_db[[#This Row],[Exit Date]]),"")</f>
        <v>1</v>
      </c>
    </row>
    <row r="369" spans="2:22">
      <c r="B369" s="39"/>
      <c r="C369" s="39"/>
      <c r="D369" s="39"/>
      <c r="E369" s="39"/>
      <c r="F369" s="40"/>
      <c r="G369" s="38"/>
      <c r="H369" s="43"/>
      <c r="I369" s="43"/>
      <c r="J369" s="39"/>
      <c r="K369" s="38"/>
      <c r="L369" s="39"/>
      <c r="M369" s="39"/>
      <c r="N369" s="43"/>
      <c r="O369" s="38"/>
      <c r="P369" s="38"/>
      <c r="Q369" s="41" t="str">
        <f ca="1">IF(emp_db[[#This Row],[Exit Date]]&lt;&gt;"",(emp_db[[#This Row],[Exit Date]]-emp_db[[#This Row],[Column1]])/365,IF(emp_db[[#This Row],[ID]]&lt;&gt;"",(TODAY()-emp_db[[#This Row],[Column1]])/365,""))</f>
        <v/>
      </c>
      <c r="R369" s="42" t="str">
        <f ca="1">IF(emp_db[[#This Row],[Date of Birth]]&lt;&gt;"",(TODAY()-emp_db[[#This Row],[Date of Birth]])/365,"")</f>
        <v/>
      </c>
      <c r="S369" s="42">
        <f>YEAR(emp_db[[#This Row],[Column1]])</f>
        <v>1900</v>
      </c>
      <c r="T369" s="42">
        <f>MONTH(emp_db[[#This Row],[Column1]])</f>
        <v>1</v>
      </c>
      <c r="U369" s="42">
        <f>IFERROR(YEAR(emp_db[[#This Row],[Exit Date]]),"")</f>
        <v>1900</v>
      </c>
      <c r="V369" s="42">
        <f>IFERROR(MONTH(emp_db[[#This Row],[Exit Date]]),"")</f>
        <v>1</v>
      </c>
    </row>
    <row r="370" spans="2:22">
      <c r="B370" s="39"/>
      <c r="C370" s="39"/>
      <c r="D370" s="39"/>
      <c r="E370" s="39"/>
      <c r="F370" s="40"/>
      <c r="G370" s="38"/>
      <c r="H370" s="43"/>
      <c r="I370" s="43"/>
      <c r="J370" s="39"/>
      <c r="K370" s="38"/>
      <c r="L370" s="39"/>
      <c r="M370" s="39"/>
      <c r="N370" s="43"/>
      <c r="O370" s="38"/>
      <c r="P370" s="38"/>
      <c r="Q370" s="41" t="str">
        <f ca="1">IF(emp_db[[#This Row],[Exit Date]]&lt;&gt;"",(emp_db[[#This Row],[Exit Date]]-emp_db[[#This Row],[Column1]])/365,IF(emp_db[[#This Row],[ID]]&lt;&gt;"",(TODAY()-emp_db[[#This Row],[Column1]])/365,""))</f>
        <v/>
      </c>
      <c r="R370" s="42" t="str">
        <f ca="1">IF(emp_db[[#This Row],[Date of Birth]]&lt;&gt;"",(TODAY()-emp_db[[#This Row],[Date of Birth]])/365,"")</f>
        <v/>
      </c>
      <c r="S370" s="42">
        <f>YEAR(emp_db[[#This Row],[Column1]])</f>
        <v>1900</v>
      </c>
      <c r="T370" s="42">
        <f>MONTH(emp_db[[#This Row],[Column1]])</f>
        <v>1</v>
      </c>
      <c r="U370" s="42">
        <f>IFERROR(YEAR(emp_db[[#This Row],[Exit Date]]),"")</f>
        <v>1900</v>
      </c>
      <c r="V370" s="42">
        <f>IFERROR(MONTH(emp_db[[#This Row],[Exit Date]]),"")</f>
        <v>1</v>
      </c>
    </row>
    <row r="371" spans="2:22">
      <c r="B371" s="39"/>
      <c r="C371" s="39"/>
      <c r="D371" s="39"/>
      <c r="E371" s="39"/>
      <c r="F371" s="40"/>
      <c r="G371" s="38"/>
      <c r="H371" s="43"/>
      <c r="I371" s="43"/>
      <c r="J371" s="39"/>
      <c r="K371" s="38"/>
      <c r="L371" s="39"/>
      <c r="M371" s="39"/>
      <c r="N371" s="43"/>
      <c r="O371" s="38"/>
      <c r="P371" s="38"/>
      <c r="Q371" s="41" t="str">
        <f ca="1">IF(emp_db[[#This Row],[Exit Date]]&lt;&gt;"",(emp_db[[#This Row],[Exit Date]]-emp_db[[#This Row],[Column1]])/365,IF(emp_db[[#This Row],[ID]]&lt;&gt;"",(TODAY()-emp_db[[#This Row],[Column1]])/365,""))</f>
        <v/>
      </c>
      <c r="R371" s="42" t="str">
        <f ca="1">IF(emp_db[[#This Row],[Date of Birth]]&lt;&gt;"",(TODAY()-emp_db[[#This Row],[Date of Birth]])/365,"")</f>
        <v/>
      </c>
      <c r="S371" s="42">
        <f>YEAR(emp_db[[#This Row],[Column1]])</f>
        <v>1900</v>
      </c>
      <c r="T371" s="42">
        <f>MONTH(emp_db[[#This Row],[Column1]])</f>
        <v>1</v>
      </c>
      <c r="U371" s="42">
        <f>IFERROR(YEAR(emp_db[[#This Row],[Exit Date]]),"")</f>
        <v>1900</v>
      </c>
      <c r="V371" s="42">
        <f>IFERROR(MONTH(emp_db[[#This Row],[Exit Date]]),"")</f>
        <v>1</v>
      </c>
    </row>
    <row r="372" spans="2:22">
      <c r="B372" s="39"/>
      <c r="C372" s="39"/>
      <c r="D372" s="39"/>
      <c r="E372" s="39"/>
      <c r="F372" s="40"/>
      <c r="G372" s="38"/>
      <c r="H372" s="43"/>
      <c r="I372" s="43"/>
      <c r="J372" s="39"/>
      <c r="K372" s="38"/>
      <c r="L372" s="39"/>
      <c r="M372" s="39"/>
      <c r="N372" s="43"/>
      <c r="O372" s="38"/>
      <c r="P372" s="38"/>
      <c r="Q372" s="41" t="str">
        <f ca="1">IF(emp_db[[#This Row],[Exit Date]]&lt;&gt;"",(emp_db[[#This Row],[Exit Date]]-emp_db[[#This Row],[Column1]])/365,IF(emp_db[[#This Row],[ID]]&lt;&gt;"",(TODAY()-emp_db[[#This Row],[Column1]])/365,""))</f>
        <v/>
      </c>
      <c r="R372" s="42" t="str">
        <f ca="1">IF(emp_db[[#This Row],[Date of Birth]]&lt;&gt;"",(TODAY()-emp_db[[#This Row],[Date of Birth]])/365,"")</f>
        <v/>
      </c>
      <c r="S372" s="42">
        <f>YEAR(emp_db[[#This Row],[Column1]])</f>
        <v>1900</v>
      </c>
      <c r="T372" s="42">
        <f>MONTH(emp_db[[#This Row],[Column1]])</f>
        <v>1</v>
      </c>
      <c r="U372" s="42">
        <f>IFERROR(YEAR(emp_db[[#This Row],[Exit Date]]),"")</f>
        <v>1900</v>
      </c>
      <c r="V372" s="42">
        <f>IFERROR(MONTH(emp_db[[#This Row],[Exit Date]]),"")</f>
        <v>1</v>
      </c>
    </row>
    <row r="373" spans="2:22">
      <c r="B373" s="39"/>
      <c r="C373" s="39"/>
      <c r="D373" s="39"/>
      <c r="E373" s="39"/>
      <c r="F373" s="40"/>
      <c r="G373" s="38"/>
      <c r="H373" s="43"/>
      <c r="I373" s="43"/>
      <c r="J373" s="39"/>
      <c r="K373" s="38"/>
      <c r="L373" s="39"/>
      <c r="M373" s="39"/>
      <c r="N373" s="43"/>
      <c r="O373" s="38"/>
      <c r="P373" s="38"/>
      <c r="Q373" s="41" t="str">
        <f ca="1">IF(emp_db[[#This Row],[Exit Date]]&lt;&gt;"",(emp_db[[#This Row],[Exit Date]]-emp_db[[#This Row],[Column1]])/365,IF(emp_db[[#This Row],[ID]]&lt;&gt;"",(TODAY()-emp_db[[#This Row],[Column1]])/365,""))</f>
        <v/>
      </c>
      <c r="R373" s="42" t="str">
        <f ca="1">IF(emp_db[[#This Row],[Date of Birth]]&lt;&gt;"",(TODAY()-emp_db[[#This Row],[Date of Birth]])/365,"")</f>
        <v/>
      </c>
      <c r="S373" s="42">
        <f>YEAR(emp_db[[#This Row],[Column1]])</f>
        <v>1900</v>
      </c>
      <c r="T373" s="42">
        <f>MONTH(emp_db[[#This Row],[Column1]])</f>
        <v>1</v>
      </c>
      <c r="U373" s="42">
        <f>IFERROR(YEAR(emp_db[[#This Row],[Exit Date]]),"")</f>
        <v>1900</v>
      </c>
      <c r="V373" s="42">
        <f>IFERROR(MONTH(emp_db[[#This Row],[Exit Date]]),"")</f>
        <v>1</v>
      </c>
    </row>
    <row r="374" spans="2:22">
      <c r="B374" s="39"/>
      <c r="C374" s="39"/>
      <c r="D374" s="39"/>
      <c r="E374" s="39"/>
      <c r="F374" s="40"/>
      <c r="G374" s="38"/>
      <c r="H374" s="43"/>
      <c r="I374" s="43"/>
      <c r="J374" s="39"/>
      <c r="K374" s="38"/>
      <c r="L374" s="39"/>
      <c r="M374" s="39"/>
      <c r="N374" s="43"/>
      <c r="O374" s="38"/>
      <c r="P374" s="38"/>
      <c r="Q374" s="41" t="str">
        <f ca="1">IF(emp_db[[#This Row],[Exit Date]]&lt;&gt;"",(emp_db[[#This Row],[Exit Date]]-emp_db[[#This Row],[Column1]])/365,IF(emp_db[[#This Row],[ID]]&lt;&gt;"",(TODAY()-emp_db[[#This Row],[Column1]])/365,""))</f>
        <v/>
      </c>
      <c r="R374" s="42" t="str">
        <f ca="1">IF(emp_db[[#This Row],[Date of Birth]]&lt;&gt;"",(TODAY()-emp_db[[#This Row],[Date of Birth]])/365,"")</f>
        <v/>
      </c>
      <c r="S374" s="42">
        <f>YEAR(emp_db[[#This Row],[Column1]])</f>
        <v>1900</v>
      </c>
      <c r="T374" s="42">
        <f>MONTH(emp_db[[#This Row],[Column1]])</f>
        <v>1</v>
      </c>
      <c r="U374" s="42">
        <f>IFERROR(YEAR(emp_db[[#This Row],[Exit Date]]),"")</f>
        <v>1900</v>
      </c>
      <c r="V374" s="42">
        <f>IFERROR(MONTH(emp_db[[#This Row],[Exit Date]]),"")</f>
        <v>1</v>
      </c>
    </row>
    <row r="375" spans="2:22">
      <c r="B375" s="39"/>
      <c r="C375" s="39"/>
      <c r="D375" s="39"/>
      <c r="E375" s="39"/>
      <c r="F375" s="40"/>
      <c r="G375" s="38"/>
      <c r="H375" s="43"/>
      <c r="I375" s="43"/>
      <c r="J375" s="39"/>
      <c r="K375" s="38"/>
      <c r="L375" s="39"/>
      <c r="M375" s="39"/>
      <c r="N375" s="43"/>
      <c r="O375" s="38"/>
      <c r="P375" s="38"/>
      <c r="Q375" s="41" t="str">
        <f ca="1">IF(emp_db[[#This Row],[Exit Date]]&lt;&gt;"",(emp_db[[#This Row],[Exit Date]]-emp_db[[#This Row],[Column1]])/365,IF(emp_db[[#This Row],[ID]]&lt;&gt;"",(TODAY()-emp_db[[#This Row],[Column1]])/365,""))</f>
        <v/>
      </c>
      <c r="R375" s="42" t="str">
        <f ca="1">IF(emp_db[[#This Row],[Date of Birth]]&lt;&gt;"",(TODAY()-emp_db[[#This Row],[Date of Birth]])/365,"")</f>
        <v/>
      </c>
      <c r="S375" s="42">
        <f>YEAR(emp_db[[#This Row],[Column1]])</f>
        <v>1900</v>
      </c>
      <c r="T375" s="42">
        <f>MONTH(emp_db[[#This Row],[Column1]])</f>
        <v>1</v>
      </c>
      <c r="U375" s="42">
        <f>IFERROR(YEAR(emp_db[[#This Row],[Exit Date]]),"")</f>
        <v>1900</v>
      </c>
      <c r="V375" s="42">
        <f>IFERROR(MONTH(emp_db[[#This Row],[Exit Date]]),"")</f>
        <v>1</v>
      </c>
    </row>
    <row r="376" spans="2:22">
      <c r="B376" s="39"/>
      <c r="C376" s="39"/>
      <c r="D376" s="39"/>
      <c r="E376" s="39"/>
      <c r="F376" s="40"/>
      <c r="G376" s="38"/>
      <c r="H376" s="43"/>
      <c r="I376" s="43"/>
      <c r="J376" s="39"/>
      <c r="K376" s="38"/>
      <c r="L376" s="39"/>
      <c r="M376" s="39"/>
      <c r="N376" s="43"/>
      <c r="O376" s="38"/>
      <c r="P376" s="38"/>
      <c r="Q376" s="41" t="str">
        <f ca="1">IF(emp_db[[#This Row],[Exit Date]]&lt;&gt;"",(emp_db[[#This Row],[Exit Date]]-emp_db[[#This Row],[Column1]])/365,IF(emp_db[[#This Row],[ID]]&lt;&gt;"",(TODAY()-emp_db[[#This Row],[Column1]])/365,""))</f>
        <v/>
      </c>
      <c r="R376" s="42" t="str">
        <f ca="1">IF(emp_db[[#This Row],[Date of Birth]]&lt;&gt;"",(TODAY()-emp_db[[#This Row],[Date of Birth]])/365,"")</f>
        <v/>
      </c>
      <c r="S376" s="42">
        <f>YEAR(emp_db[[#This Row],[Column1]])</f>
        <v>1900</v>
      </c>
      <c r="T376" s="42">
        <f>MONTH(emp_db[[#This Row],[Column1]])</f>
        <v>1</v>
      </c>
      <c r="U376" s="42">
        <f>IFERROR(YEAR(emp_db[[#This Row],[Exit Date]]),"")</f>
        <v>1900</v>
      </c>
      <c r="V376" s="42">
        <f>IFERROR(MONTH(emp_db[[#This Row],[Exit Date]]),"")</f>
        <v>1</v>
      </c>
    </row>
    <row r="377" spans="2:22">
      <c r="B377" s="39"/>
      <c r="C377" s="39"/>
      <c r="D377" s="39"/>
      <c r="E377" s="39"/>
      <c r="F377" s="40"/>
      <c r="G377" s="38"/>
      <c r="H377" s="43"/>
      <c r="I377" s="43"/>
      <c r="J377" s="39"/>
      <c r="K377" s="38"/>
      <c r="L377" s="39"/>
      <c r="M377" s="39"/>
      <c r="N377" s="43"/>
      <c r="O377" s="38"/>
      <c r="P377" s="38"/>
      <c r="Q377" s="41" t="str">
        <f ca="1">IF(emp_db[[#This Row],[Exit Date]]&lt;&gt;"",(emp_db[[#This Row],[Exit Date]]-emp_db[[#This Row],[Column1]])/365,IF(emp_db[[#This Row],[ID]]&lt;&gt;"",(TODAY()-emp_db[[#This Row],[Column1]])/365,""))</f>
        <v/>
      </c>
      <c r="R377" s="42" t="str">
        <f ca="1">IF(emp_db[[#This Row],[Date of Birth]]&lt;&gt;"",(TODAY()-emp_db[[#This Row],[Date of Birth]])/365,"")</f>
        <v/>
      </c>
      <c r="S377" s="42">
        <f>YEAR(emp_db[[#This Row],[Column1]])</f>
        <v>1900</v>
      </c>
      <c r="T377" s="42">
        <f>MONTH(emp_db[[#This Row],[Column1]])</f>
        <v>1</v>
      </c>
      <c r="U377" s="42">
        <f>IFERROR(YEAR(emp_db[[#This Row],[Exit Date]]),"")</f>
        <v>1900</v>
      </c>
      <c r="V377" s="42">
        <f>IFERROR(MONTH(emp_db[[#This Row],[Exit Date]]),"")</f>
        <v>1</v>
      </c>
    </row>
    <row r="378" spans="2:22">
      <c r="B378" s="39"/>
      <c r="C378" s="39"/>
      <c r="D378" s="39"/>
      <c r="E378" s="39"/>
      <c r="F378" s="40"/>
      <c r="G378" s="38"/>
      <c r="H378" s="43"/>
      <c r="I378" s="43"/>
      <c r="J378" s="39"/>
      <c r="K378" s="38"/>
      <c r="L378" s="39"/>
      <c r="M378" s="39"/>
      <c r="N378" s="43"/>
      <c r="O378" s="38"/>
      <c r="P378" s="38"/>
      <c r="Q378" s="41" t="str">
        <f ca="1">IF(emp_db[[#This Row],[Exit Date]]&lt;&gt;"",(emp_db[[#This Row],[Exit Date]]-emp_db[[#This Row],[Column1]])/365,IF(emp_db[[#This Row],[ID]]&lt;&gt;"",(TODAY()-emp_db[[#This Row],[Column1]])/365,""))</f>
        <v/>
      </c>
      <c r="R378" s="42" t="str">
        <f ca="1">IF(emp_db[[#This Row],[Date of Birth]]&lt;&gt;"",(TODAY()-emp_db[[#This Row],[Date of Birth]])/365,"")</f>
        <v/>
      </c>
      <c r="S378" s="42">
        <f>YEAR(emp_db[[#This Row],[Column1]])</f>
        <v>1900</v>
      </c>
      <c r="T378" s="42">
        <f>MONTH(emp_db[[#This Row],[Column1]])</f>
        <v>1</v>
      </c>
      <c r="U378" s="42">
        <f>IFERROR(YEAR(emp_db[[#This Row],[Exit Date]]),"")</f>
        <v>1900</v>
      </c>
      <c r="V378" s="42">
        <f>IFERROR(MONTH(emp_db[[#This Row],[Exit Date]]),"")</f>
        <v>1</v>
      </c>
    </row>
    <row r="379" spans="2:22">
      <c r="B379" s="39"/>
      <c r="C379" s="39"/>
      <c r="D379" s="39"/>
      <c r="E379" s="39"/>
      <c r="F379" s="40"/>
      <c r="G379" s="38"/>
      <c r="H379" s="43"/>
      <c r="I379" s="43"/>
      <c r="J379" s="39"/>
      <c r="K379" s="38"/>
      <c r="L379" s="39"/>
      <c r="M379" s="39"/>
      <c r="N379" s="43"/>
      <c r="O379" s="38"/>
      <c r="P379" s="38"/>
      <c r="Q379" s="41" t="str">
        <f ca="1">IF(emp_db[[#This Row],[Exit Date]]&lt;&gt;"",(emp_db[[#This Row],[Exit Date]]-emp_db[[#This Row],[Column1]])/365,IF(emp_db[[#This Row],[ID]]&lt;&gt;"",(TODAY()-emp_db[[#This Row],[Column1]])/365,""))</f>
        <v/>
      </c>
      <c r="R379" s="42" t="str">
        <f ca="1">IF(emp_db[[#This Row],[Date of Birth]]&lt;&gt;"",(TODAY()-emp_db[[#This Row],[Date of Birth]])/365,"")</f>
        <v/>
      </c>
      <c r="S379" s="42">
        <f>YEAR(emp_db[[#This Row],[Column1]])</f>
        <v>1900</v>
      </c>
      <c r="T379" s="42">
        <f>MONTH(emp_db[[#This Row],[Column1]])</f>
        <v>1</v>
      </c>
      <c r="U379" s="42">
        <f>IFERROR(YEAR(emp_db[[#This Row],[Exit Date]]),"")</f>
        <v>1900</v>
      </c>
      <c r="V379" s="42">
        <f>IFERROR(MONTH(emp_db[[#This Row],[Exit Date]]),"")</f>
        <v>1</v>
      </c>
    </row>
    <row r="380" spans="2:22">
      <c r="B380" s="39"/>
      <c r="C380" s="39"/>
      <c r="D380" s="39"/>
      <c r="E380" s="39"/>
      <c r="F380" s="40"/>
      <c r="G380" s="38"/>
      <c r="H380" s="43"/>
      <c r="I380" s="43"/>
      <c r="J380" s="39"/>
      <c r="K380" s="38"/>
      <c r="L380" s="39"/>
      <c r="M380" s="39"/>
      <c r="N380" s="43"/>
      <c r="O380" s="38"/>
      <c r="P380" s="38"/>
      <c r="Q380" s="41" t="str">
        <f ca="1">IF(emp_db[[#This Row],[Exit Date]]&lt;&gt;"",(emp_db[[#This Row],[Exit Date]]-emp_db[[#This Row],[Column1]])/365,IF(emp_db[[#This Row],[ID]]&lt;&gt;"",(TODAY()-emp_db[[#This Row],[Column1]])/365,""))</f>
        <v/>
      </c>
      <c r="R380" s="42" t="str">
        <f ca="1">IF(emp_db[[#This Row],[Date of Birth]]&lt;&gt;"",(TODAY()-emp_db[[#This Row],[Date of Birth]])/365,"")</f>
        <v/>
      </c>
      <c r="S380" s="42">
        <f>YEAR(emp_db[[#This Row],[Column1]])</f>
        <v>1900</v>
      </c>
      <c r="T380" s="42">
        <f>MONTH(emp_db[[#This Row],[Column1]])</f>
        <v>1</v>
      </c>
      <c r="U380" s="42">
        <f>IFERROR(YEAR(emp_db[[#This Row],[Exit Date]]),"")</f>
        <v>1900</v>
      </c>
      <c r="V380" s="42">
        <f>IFERROR(MONTH(emp_db[[#This Row],[Exit Date]]),"")</f>
        <v>1</v>
      </c>
    </row>
    <row r="381" spans="2:22">
      <c r="B381" s="39"/>
      <c r="C381" s="39"/>
      <c r="D381" s="39"/>
      <c r="E381" s="39"/>
      <c r="F381" s="40"/>
      <c r="G381" s="38"/>
      <c r="H381" s="43"/>
      <c r="I381" s="43"/>
      <c r="J381" s="39"/>
      <c r="K381" s="38"/>
      <c r="L381" s="39"/>
      <c r="M381" s="39"/>
      <c r="N381" s="43"/>
      <c r="O381" s="38"/>
      <c r="P381" s="38"/>
      <c r="Q381" s="41" t="str">
        <f ca="1">IF(emp_db[[#This Row],[Exit Date]]&lt;&gt;"",(emp_db[[#This Row],[Exit Date]]-emp_db[[#This Row],[Column1]])/365,IF(emp_db[[#This Row],[ID]]&lt;&gt;"",(TODAY()-emp_db[[#This Row],[Column1]])/365,""))</f>
        <v/>
      </c>
      <c r="R381" s="42" t="str">
        <f ca="1">IF(emp_db[[#This Row],[Date of Birth]]&lt;&gt;"",(TODAY()-emp_db[[#This Row],[Date of Birth]])/365,"")</f>
        <v/>
      </c>
      <c r="S381" s="42">
        <f>YEAR(emp_db[[#This Row],[Column1]])</f>
        <v>1900</v>
      </c>
      <c r="T381" s="42">
        <f>MONTH(emp_db[[#This Row],[Column1]])</f>
        <v>1</v>
      </c>
      <c r="U381" s="42">
        <f>IFERROR(YEAR(emp_db[[#This Row],[Exit Date]]),"")</f>
        <v>1900</v>
      </c>
      <c r="V381" s="42">
        <f>IFERROR(MONTH(emp_db[[#This Row],[Exit Date]]),"")</f>
        <v>1</v>
      </c>
    </row>
    <row r="382" spans="2:22">
      <c r="B382" s="39"/>
      <c r="C382" s="39"/>
      <c r="D382" s="39"/>
      <c r="E382" s="39"/>
      <c r="F382" s="40"/>
      <c r="G382" s="38"/>
      <c r="H382" s="43"/>
      <c r="I382" s="43"/>
      <c r="J382" s="39"/>
      <c r="K382" s="38"/>
      <c r="L382" s="39"/>
      <c r="M382" s="39"/>
      <c r="N382" s="43"/>
      <c r="O382" s="38"/>
      <c r="P382" s="38"/>
      <c r="Q382" s="41" t="str">
        <f ca="1">IF(emp_db[[#This Row],[Exit Date]]&lt;&gt;"",(emp_db[[#This Row],[Exit Date]]-emp_db[[#This Row],[Column1]])/365,IF(emp_db[[#This Row],[ID]]&lt;&gt;"",(TODAY()-emp_db[[#This Row],[Column1]])/365,""))</f>
        <v/>
      </c>
      <c r="R382" s="42" t="str">
        <f ca="1">IF(emp_db[[#This Row],[Date of Birth]]&lt;&gt;"",(TODAY()-emp_db[[#This Row],[Date of Birth]])/365,"")</f>
        <v/>
      </c>
      <c r="S382" s="42">
        <f>YEAR(emp_db[[#This Row],[Column1]])</f>
        <v>1900</v>
      </c>
      <c r="T382" s="42">
        <f>MONTH(emp_db[[#This Row],[Column1]])</f>
        <v>1</v>
      </c>
      <c r="U382" s="42">
        <f>IFERROR(YEAR(emp_db[[#This Row],[Exit Date]]),"")</f>
        <v>1900</v>
      </c>
      <c r="V382" s="42">
        <f>IFERROR(MONTH(emp_db[[#This Row],[Exit Date]]),"")</f>
        <v>1</v>
      </c>
    </row>
    <row r="383" spans="2:22">
      <c r="B383" s="39"/>
      <c r="C383" s="39"/>
      <c r="D383" s="39"/>
      <c r="E383" s="39"/>
      <c r="F383" s="40"/>
      <c r="G383" s="38"/>
      <c r="H383" s="43"/>
      <c r="I383" s="43"/>
      <c r="J383" s="39"/>
      <c r="K383" s="38"/>
      <c r="L383" s="39"/>
      <c r="M383" s="39"/>
      <c r="N383" s="43"/>
      <c r="O383" s="38"/>
      <c r="P383" s="38"/>
      <c r="Q383" s="41" t="str">
        <f ca="1">IF(emp_db[[#This Row],[Exit Date]]&lt;&gt;"",(emp_db[[#This Row],[Exit Date]]-emp_db[[#This Row],[Column1]])/365,IF(emp_db[[#This Row],[ID]]&lt;&gt;"",(TODAY()-emp_db[[#This Row],[Column1]])/365,""))</f>
        <v/>
      </c>
      <c r="R383" s="42" t="str">
        <f ca="1">IF(emp_db[[#This Row],[Date of Birth]]&lt;&gt;"",(TODAY()-emp_db[[#This Row],[Date of Birth]])/365,"")</f>
        <v/>
      </c>
      <c r="S383" s="42">
        <f>YEAR(emp_db[[#This Row],[Column1]])</f>
        <v>1900</v>
      </c>
      <c r="T383" s="42">
        <f>MONTH(emp_db[[#This Row],[Column1]])</f>
        <v>1</v>
      </c>
      <c r="U383" s="42">
        <f>IFERROR(YEAR(emp_db[[#This Row],[Exit Date]]),"")</f>
        <v>1900</v>
      </c>
      <c r="V383" s="42">
        <f>IFERROR(MONTH(emp_db[[#This Row],[Exit Date]]),"")</f>
        <v>1</v>
      </c>
    </row>
    <row r="384" spans="2:22">
      <c r="B384" s="39"/>
      <c r="C384" s="39"/>
      <c r="D384" s="39"/>
      <c r="E384" s="39"/>
      <c r="F384" s="40"/>
      <c r="G384" s="38"/>
      <c r="H384" s="43"/>
      <c r="I384" s="43"/>
      <c r="J384" s="39"/>
      <c r="K384" s="38"/>
      <c r="L384" s="39"/>
      <c r="M384" s="39"/>
      <c r="N384" s="43"/>
      <c r="O384" s="38"/>
      <c r="P384" s="38"/>
      <c r="Q384" s="41" t="str">
        <f ca="1">IF(emp_db[[#This Row],[Exit Date]]&lt;&gt;"",(emp_db[[#This Row],[Exit Date]]-emp_db[[#This Row],[Column1]])/365,IF(emp_db[[#This Row],[ID]]&lt;&gt;"",(TODAY()-emp_db[[#This Row],[Column1]])/365,""))</f>
        <v/>
      </c>
      <c r="R384" s="42" t="str">
        <f ca="1">IF(emp_db[[#This Row],[Date of Birth]]&lt;&gt;"",(TODAY()-emp_db[[#This Row],[Date of Birth]])/365,"")</f>
        <v/>
      </c>
      <c r="S384" s="42">
        <f>YEAR(emp_db[[#This Row],[Column1]])</f>
        <v>1900</v>
      </c>
      <c r="T384" s="42">
        <f>MONTH(emp_db[[#This Row],[Column1]])</f>
        <v>1</v>
      </c>
      <c r="U384" s="42">
        <f>IFERROR(YEAR(emp_db[[#This Row],[Exit Date]]),"")</f>
        <v>1900</v>
      </c>
      <c r="V384" s="42">
        <f>IFERROR(MONTH(emp_db[[#This Row],[Exit Date]]),"")</f>
        <v>1</v>
      </c>
    </row>
    <row r="385" spans="2:22">
      <c r="B385" s="39"/>
      <c r="C385" s="39"/>
      <c r="D385" s="39"/>
      <c r="E385" s="39"/>
      <c r="F385" s="40"/>
      <c r="G385" s="38"/>
      <c r="H385" s="43"/>
      <c r="I385" s="43"/>
      <c r="J385" s="39"/>
      <c r="K385" s="38"/>
      <c r="L385" s="39"/>
      <c r="M385" s="39"/>
      <c r="N385" s="43"/>
      <c r="O385" s="38"/>
      <c r="P385" s="38"/>
      <c r="Q385" s="41" t="str">
        <f ca="1">IF(emp_db[[#This Row],[Exit Date]]&lt;&gt;"",(emp_db[[#This Row],[Exit Date]]-emp_db[[#This Row],[Column1]])/365,IF(emp_db[[#This Row],[ID]]&lt;&gt;"",(TODAY()-emp_db[[#This Row],[Column1]])/365,""))</f>
        <v/>
      </c>
      <c r="R385" s="42" t="str">
        <f ca="1">IF(emp_db[[#This Row],[Date of Birth]]&lt;&gt;"",(TODAY()-emp_db[[#This Row],[Date of Birth]])/365,"")</f>
        <v/>
      </c>
      <c r="S385" s="42">
        <f>YEAR(emp_db[[#This Row],[Column1]])</f>
        <v>1900</v>
      </c>
      <c r="T385" s="42">
        <f>MONTH(emp_db[[#This Row],[Column1]])</f>
        <v>1</v>
      </c>
      <c r="U385" s="42">
        <f>IFERROR(YEAR(emp_db[[#This Row],[Exit Date]]),"")</f>
        <v>1900</v>
      </c>
      <c r="V385" s="42">
        <f>IFERROR(MONTH(emp_db[[#This Row],[Exit Date]]),"")</f>
        <v>1</v>
      </c>
    </row>
    <row r="386" spans="2:22">
      <c r="B386" s="39"/>
      <c r="C386" s="39"/>
      <c r="D386" s="39"/>
      <c r="E386" s="39"/>
      <c r="F386" s="40"/>
      <c r="G386" s="38"/>
      <c r="H386" s="43"/>
      <c r="I386" s="43"/>
      <c r="J386" s="39"/>
      <c r="K386" s="38"/>
      <c r="L386" s="39"/>
      <c r="M386" s="39"/>
      <c r="N386" s="43"/>
      <c r="O386" s="38"/>
      <c r="P386" s="38"/>
      <c r="Q386" s="41" t="str">
        <f ca="1">IF(emp_db[[#This Row],[Exit Date]]&lt;&gt;"",(emp_db[[#This Row],[Exit Date]]-emp_db[[#This Row],[Column1]])/365,IF(emp_db[[#This Row],[ID]]&lt;&gt;"",(TODAY()-emp_db[[#This Row],[Column1]])/365,""))</f>
        <v/>
      </c>
      <c r="R386" s="42" t="str">
        <f ca="1">IF(emp_db[[#This Row],[Date of Birth]]&lt;&gt;"",(TODAY()-emp_db[[#This Row],[Date of Birth]])/365,"")</f>
        <v/>
      </c>
      <c r="S386" s="42">
        <f>YEAR(emp_db[[#This Row],[Column1]])</f>
        <v>1900</v>
      </c>
      <c r="T386" s="42">
        <f>MONTH(emp_db[[#This Row],[Column1]])</f>
        <v>1</v>
      </c>
      <c r="U386" s="42">
        <f>IFERROR(YEAR(emp_db[[#This Row],[Exit Date]]),"")</f>
        <v>1900</v>
      </c>
      <c r="V386" s="42">
        <f>IFERROR(MONTH(emp_db[[#This Row],[Exit Date]]),"")</f>
        <v>1</v>
      </c>
    </row>
    <row r="387" spans="2:22">
      <c r="B387" s="39"/>
      <c r="C387" s="39"/>
      <c r="D387" s="39"/>
      <c r="E387" s="39"/>
      <c r="F387" s="40"/>
      <c r="G387" s="38"/>
      <c r="H387" s="43"/>
      <c r="I387" s="43"/>
      <c r="J387" s="39"/>
      <c r="K387" s="38"/>
      <c r="L387" s="39"/>
      <c r="M387" s="39"/>
      <c r="N387" s="43"/>
      <c r="O387" s="38"/>
      <c r="P387" s="38"/>
      <c r="Q387" s="41" t="str">
        <f ca="1">IF(emp_db[[#This Row],[Exit Date]]&lt;&gt;"",(emp_db[[#This Row],[Exit Date]]-emp_db[[#This Row],[Column1]])/365,IF(emp_db[[#This Row],[ID]]&lt;&gt;"",(TODAY()-emp_db[[#This Row],[Column1]])/365,""))</f>
        <v/>
      </c>
      <c r="R387" s="42" t="str">
        <f ca="1">IF(emp_db[[#This Row],[Date of Birth]]&lt;&gt;"",(TODAY()-emp_db[[#This Row],[Date of Birth]])/365,"")</f>
        <v/>
      </c>
      <c r="S387" s="42">
        <f>YEAR(emp_db[[#This Row],[Column1]])</f>
        <v>1900</v>
      </c>
      <c r="T387" s="42">
        <f>MONTH(emp_db[[#This Row],[Column1]])</f>
        <v>1</v>
      </c>
      <c r="U387" s="42">
        <f>IFERROR(YEAR(emp_db[[#This Row],[Exit Date]]),"")</f>
        <v>1900</v>
      </c>
      <c r="V387" s="42">
        <f>IFERROR(MONTH(emp_db[[#This Row],[Exit Date]]),"")</f>
        <v>1</v>
      </c>
    </row>
    <row r="388" spans="2:22">
      <c r="B388" s="39"/>
      <c r="C388" s="39"/>
      <c r="D388" s="39"/>
      <c r="E388" s="39"/>
      <c r="F388" s="40"/>
      <c r="G388" s="38"/>
      <c r="H388" s="43"/>
      <c r="I388" s="43"/>
      <c r="J388" s="39"/>
      <c r="K388" s="38"/>
      <c r="L388" s="39"/>
      <c r="M388" s="39"/>
      <c r="N388" s="43"/>
      <c r="O388" s="38"/>
      <c r="P388" s="38"/>
      <c r="Q388" s="41" t="str">
        <f ca="1">IF(emp_db[[#This Row],[Exit Date]]&lt;&gt;"",(emp_db[[#This Row],[Exit Date]]-emp_db[[#This Row],[Column1]])/365,IF(emp_db[[#This Row],[ID]]&lt;&gt;"",(TODAY()-emp_db[[#This Row],[Column1]])/365,""))</f>
        <v/>
      </c>
      <c r="R388" s="42" t="str">
        <f ca="1">IF(emp_db[[#This Row],[Date of Birth]]&lt;&gt;"",(TODAY()-emp_db[[#This Row],[Date of Birth]])/365,"")</f>
        <v/>
      </c>
      <c r="S388" s="42">
        <f>YEAR(emp_db[[#This Row],[Column1]])</f>
        <v>1900</v>
      </c>
      <c r="T388" s="42">
        <f>MONTH(emp_db[[#This Row],[Column1]])</f>
        <v>1</v>
      </c>
      <c r="U388" s="42">
        <f>IFERROR(YEAR(emp_db[[#This Row],[Exit Date]]),"")</f>
        <v>1900</v>
      </c>
      <c r="V388" s="42">
        <f>IFERROR(MONTH(emp_db[[#This Row],[Exit Date]]),"")</f>
        <v>1</v>
      </c>
    </row>
    <row r="389" spans="2:22">
      <c r="B389" s="39"/>
      <c r="C389" s="39"/>
      <c r="D389" s="39"/>
      <c r="E389" s="39"/>
      <c r="F389" s="40"/>
      <c r="G389" s="38"/>
      <c r="H389" s="43"/>
      <c r="I389" s="43"/>
      <c r="J389" s="39"/>
      <c r="K389" s="38"/>
      <c r="L389" s="39"/>
      <c r="M389" s="39"/>
      <c r="N389" s="43"/>
      <c r="O389" s="38"/>
      <c r="P389" s="38"/>
      <c r="Q389" s="41" t="str">
        <f ca="1">IF(emp_db[[#This Row],[Exit Date]]&lt;&gt;"",(emp_db[[#This Row],[Exit Date]]-emp_db[[#This Row],[Column1]])/365,IF(emp_db[[#This Row],[ID]]&lt;&gt;"",(TODAY()-emp_db[[#This Row],[Column1]])/365,""))</f>
        <v/>
      </c>
      <c r="R389" s="42" t="str">
        <f ca="1">IF(emp_db[[#This Row],[Date of Birth]]&lt;&gt;"",(TODAY()-emp_db[[#This Row],[Date of Birth]])/365,"")</f>
        <v/>
      </c>
      <c r="S389" s="42">
        <f>YEAR(emp_db[[#This Row],[Column1]])</f>
        <v>1900</v>
      </c>
      <c r="T389" s="42">
        <f>MONTH(emp_db[[#This Row],[Column1]])</f>
        <v>1</v>
      </c>
      <c r="U389" s="42">
        <f>IFERROR(YEAR(emp_db[[#This Row],[Exit Date]]),"")</f>
        <v>1900</v>
      </c>
      <c r="V389" s="42">
        <f>IFERROR(MONTH(emp_db[[#This Row],[Exit Date]]),"")</f>
        <v>1</v>
      </c>
    </row>
    <row r="390" spans="2:22">
      <c r="B390" s="39"/>
      <c r="C390" s="39"/>
      <c r="D390" s="39"/>
      <c r="E390" s="39"/>
      <c r="F390" s="40"/>
      <c r="G390" s="38"/>
      <c r="H390" s="43"/>
      <c r="I390" s="43"/>
      <c r="J390" s="39"/>
      <c r="K390" s="38"/>
      <c r="L390" s="39"/>
      <c r="M390" s="39"/>
      <c r="N390" s="43"/>
      <c r="O390" s="38"/>
      <c r="P390" s="38"/>
      <c r="Q390" s="41" t="str">
        <f ca="1">IF(emp_db[[#This Row],[Exit Date]]&lt;&gt;"",(emp_db[[#This Row],[Exit Date]]-emp_db[[#This Row],[Column1]])/365,IF(emp_db[[#This Row],[ID]]&lt;&gt;"",(TODAY()-emp_db[[#This Row],[Column1]])/365,""))</f>
        <v/>
      </c>
      <c r="R390" s="42" t="str">
        <f ca="1">IF(emp_db[[#This Row],[Date of Birth]]&lt;&gt;"",(TODAY()-emp_db[[#This Row],[Date of Birth]])/365,"")</f>
        <v/>
      </c>
      <c r="S390" s="42">
        <f>YEAR(emp_db[[#This Row],[Column1]])</f>
        <v>1900</v>
      </c>
      <c r="T390" s="42">
        <f>MONTH(emp_db[[#This Row],[Column1]])</f>
        <v>1</v>
      </c>
      <c r="U390" s="42">
        <f>IFERROR(YEAR(emp_db[[#This Row],[Exit Date]]),"")</f>
        <v>1900</v>
      </c>
      <c r="V390" s="42">
        <f>IFERROR(MONTH(emp_db[[#This Row],[Exit Date]]),"")</f>
        <v>1</v>
      </c>
    </row>
    <row r="391" spans="2:22">
      <c r="B391" s="39"/>
      <c r="C391" s="39"/>
      <c r="D391" s="39"/>
      <c r="E391" s="39"/>
      <c r="F391" s="40"/>
      <c r="G391" s="38"/>
      <c r="H391" s="43"/>
      <c r="I391" s="43"/>
      <c r="J391" s="39"/>
      <c r="K391" s="38"/>
      <c r="L391" s="39"/>
      <c r="M391" s="39"/>
      <c r="N391" s="43"/>
      <c r="O391" s="38"/>
      <c r="P391" s="38"/>
      <c r="Q391" s="41" t="str">
        <f ca="1">IF(emp_db[[#This Row],[Exit Date]]&lt;&gt;"",(emp_db[[#This Row],[Exit Date]]-emp_db[[#This Row],[Column1]])/365,IF(emp_db[[#This Row],[ID]]&lt;&gt;"",(TODAY()-emp_db[[#This Row],[Column1]])/365,""))</f>
        <v/>
      </c>
      <c r="R391" s="42" t="str">
        <f ca="1">IF(emp_db[[#This Row],[Date of Birth]]&lt;&gt;"",(TODAY()-emp_db[[#This Row],[Date of Birth]])/365,"")</f>
        <v/>
      </c>
      <c r="S391" s="42">
        <f>YEAR(emp_db[[#This Row],[Column1]])</f>
        <v>1900</v>
      </c>
      <c r="T391" s="42">
        <f>MONTH(emp_db[[#This Row],[Column1]])</f>
        <v>1</v>
      </c>
      <c r="U391" s="42">
        <f>IFERROR(YEAR(emp_db[[#This Row],[Exit Date]]),"")</f>
        <v>1900</v>
      </c>
      <c r="V391" s="42">
        <f>IFERROR(MONTH(emp_db[[#This Row],[Exit Date]]),"")</f>
        <v>1</v>
      </c>
    </row>
    <row r="392" spans="2:22">
      <c r="B392" s="39"/>
      <c r="C392" s="39"/>
      <c r="D392" s="39"/>
      <c r="E392" s="39"/>
      <c r="F392" s="40"/>
      <c r="G392" s="38"/>
      <c r="H392" s="43"/>
      <c r="I392" s="43"/>
      <c r="J392" s="39"/>
      <c r="K392" s="38"/>
      <c r="L392" s="39"/>
      <c r="M392" s="39"/>
      <c r="N392" s="43"/>
      <c r="O392" s="38"/>
      <c r="P392" s="38"/>
      <c r="Q392" s="41" t="str">
        <f ca="1">IF(emp_db[[#This Row],[Exit Date]]&lt;&gt;"",(emp_db[[#This Row],[Exit Date]]-emp_db[[#This Row],[Column1]])/365,IF(emp_db[[#This Row],[ID]]&lt;&gt;"",(TODAY()-emp_db[[#This Row],[Column1]])/365,""))</f>
        <v/>
      </c>
      <c r="R392" s="42" t="str">
        <f ca="1">IF(emp_db[[#This Row],[Date of Birth]]&lt;&gt;"",(TODAY()-emp_db[[#This Row],[Date of Birth]])/365,"")</f>
        <v/>
      </c>
      <c r="S392" s="42">
        <f>YEAR(emp_db[[#This Row],[Column1]])</f>
        <v>1900</v>
      </c>
      <c r="T392" s="42">
        <f>MONTH(emp_db[[#This Row],[Column1]])</f>
        <v>1</v>
      </c>
      <c r="U392" s="42">
        <f>IFERROR(YEAR(emp_db[[#This Row],[Exit Date]]),"")</f>
        <v>1900</v>
      </c>
      <c r="V392" s="42">
        <f>IFERROR(MONTH(emp_db[[#This Row],[Exit Date]]),"")</f>
        <v>1</v>
      </c>
    </row>
    <row r="393" spans="2:22">
      <c r="B393" s="39"/>
      <c r="C393" s="39"/>
      <c r="D393" s="39"/>
      <c r="E393" s="39"/>
      <c r="F393" s="40"/>
      <c r="G393" s="38"/>
      <c r="H393" s="43"/>
      <c r="I393" s="43"/>
      <c r="J393" s="39"/>
      <c r="K393" s="38"/>
      <c r="L393" s="39"/>
      <c r="M393" s="39"/>
      <c r="N393" s="43"/>
      <c r="O393" s="38"/>
      <c r="P393" s="38"/>
      <c r="Q393" s="41" t="str">
        <f ca="1">IF(emp_db[[#This Row],[Exit Date]]&lt;&gt;"",(emp_db[[#This Row],[Exit Date]]-emp_db[[#This Row],[Column1]])/365,IF(emp_db[[#This Row],[ID]]&lt;&gt;"",(TODAY()-emp_db[[#This Row],[Column1]])/365,""))</f>
        <v/>
      </c>
      <c r="R393" s="42" t="str">
        <f ca="1">IF(emp_db[[#This Row],[Date of Birth]]&lt;&gt;"",(TODAY()-emp_db[[#This Row],[Date of Birth]])/365,"")</f>
        <v/>
      </c>
      <c r="S393" s="42">
        <f>YEAR(emp_db[[#This Row],[Column1]])</f>
        <v>1900</v>
      </c>
      <c r="T393" s="42">
        <f>MONTH(emp_db[[#This Row],[Column1]])</f>
        <v>1</v>
      </c>
      <c r="U393" s="42">
        <f>IFERROR(YEAR(emp_db[[#This Row],[Exit Date]]),"")</f>
        <v>1900</v>
      </c>
      <c r="V393" s="42">
        <f>IFERROR(MONTH(emp_db[[#This Row],[Exit Date]]),"")</f>
        <v>1</v>
      </c>
    </row>
    <row r="394" spans="2:22">
      <c r="B394" s="39"/>
      <c r="C394" s="39"/>
      <c r="D394" s="39"/>
      <c r="E394" s="39"/>
      <c r="F394" s="40"/>
      <c r="G394" s="38"/>
      <c r="H394" s="43"/>
      <c r="I394" s="43"/>
      <c r="J394" s="39"/>
      <c r="K394" s="38"/>
      <c r="L394" s="39"/>
      <c r="M394" s="39"/>
      <c r="N394" s="43"/>
      <c r="O394" s="38"/>
      <c r="P394" s="38"/>
      <c r="Q394" s="41" t="str">
        <f ca="1">IF(emp_db[[#This Row],[Exit Date]]&lt;&gt;"",(emp_db[[#This Row],[Exit Date]]-emp_db[[#This Row],[Column1]])/365,IF(emp_db[[#This Row],[ID]]&lt;&gt;"",(TODAY()-emp_db[[#This Row],[Column1]])/365,""))</f>
        <v/>
      </c>
      <c r="R394" s="42" t="str">
        <f ca="1">IF(emp_db[[#This Row],[Date of Birth]]&lt;&gt;"",(TODAY()-emp_db[[#This Row],[Date of Birth]])/365,"")</f>
        <v/>
      </c>
      <c r="S394" s="42">
        <f>YEAR(emp_db[[#This Row],[Column1]])</f>
        <v>1900</v>
      </c>
      <c r="T394" s="42">
        <f>MONTH(emp_db[[#This Row],[Column1]])</f>
        <v>1</v>
      </c>
      <c r="U394" s="42">
        <f>IFERROR(YEAR(emp_db[[#This Row],[Exit Date]]),"")</f>
        <v>1900</v>
      </c>
      <c r="V394" s="42">
        <f>IFERROR(MONTH(emp_db[[#This Row],[Exit Date]]),"")</f>
        <v>1</v>
      </c>
    </row>
    <row r="395" spans="2:22">
      <c r="B395" s="39"/>
      <c r="C395" s="39"/>
      <c r="D395" s="39"/>
      <c r="E395" s="39"/>
      <c r="F395" s="40"/>
      <c r="G395" s="38"/>
      <c r="H395" s="43"/>
      <c r="I395" s="43"/>
      <c r="J395" s="39"/>
      <c r="K395" s="38"/>
      <c r="L395" s="39"/>
      <c r="M395" s="39"/>
      <c r="N395" s="43"/>
      <c r="O395" s="38"/>
      <c r="P395" s="38"/>
      <c r="Q395" s="41" t="str">
        <f ca="1">IF(emp_db[[#This Row],[Exit Date]]&lt;&gt;"",(emp_db[[#This Row],[Exit Date]]-emp_db[[#This Row],[Column1]])/365,IF(emp_db[[#This Row],[ID]]&lt;&gt;"",(TODAY()-emp_db[[#This Row],[Column1]])/365,""))</f>
        <v/>
      </c>
      <c r="R395" s="42" t="str">
        <f ca="1">IF(emp_db[[#This Row],[Date of Birth]]&lt;&gt;"",(TODAY()-emp_db[[#This Row],[Date of Birth]])/365,"")</f>
        <v/>
      </c>
      <c r="S395" s="42">
        <f>YEAR(emp_db[[#This Row],[Column1]])</f>
        <v>1900</v>
      </c>
      <c r="T395" s="42">
        <f>MONTH(emp_db[[#This Row],[Column1]])</f>
        <v>1</v>
      </c>
      <c r="U395" s="42">
        <f>IFERROR(YEAR(emp_db[[#This Row],[Exit Date]]),"")</f>
        <v>1900</v>
      </c>
      <c r="V395" s="42">
        <f>IFERROR(MONTH(emp_db[[#This Row],[Exit Date]]),"")</f>
        <v>1</v>
      </c>
    </row>
    <row r="396" spans="2:22">
      <c r="B396" s="39"/>
      <c r="C396" s="39"/>
      <c r="D396" s="39"/>
      <c r="E396" s="39"/>
      <c r="F396" s="40"/>
      <c r="G396" s="38"/>
      <c r="H396" s="43"/>
      <c r="I396" s="43"/>
      <c r="J396" s="39"/>
      <c r="K396" s="38"/>
      <c r="L396" s="39"/>
      <c r="M396" s="39"/>
      <c r="N396" s="43"/>
      <c r="O396" s="38"/>
      <c r="P396" s="38"/>
      <c r="Q396" s="41" t="str">
        <f ca="1">IF(emp_db[[#This Row],[Exit Date]]&lt;&gt;"",(emp_db[[#This Row],[Exit Date]]-emp_db[[#This Row],[Column1]])/365,IF(emp_db[[#This Row],[ID]]&lt;&gt;"",(TODAY()-emp_db[[#This Row],[Column1]])/365,""))</f>
        <v/>
      </c>
      <c r="R396" s="42" t="str">
        <f ca="1">IF(emp_db[[#This Row],[Date of Birth]]&lt;&gt;"",(TODAY()-emp_db[[#This Row],[Date of Birth]])/365,"")</f>
        <v/>
      </c>
      <c r="S396" s="42">
        <f>YEAR(emp_db[[#This Row],[Column1]])</f>
        <v>1900</v>
      </c>
      <c r="T396" s="42">
        <f>MONTH(emp_db[[#This Row],[Column1]])</f>
        <v>1</v>
      </c>
      <c r="U396" s="42">
        <f>IFERROR(YEAR(emp_db[[#This Row],[Exit Date]]),"")</f>
        <v>1900</v>
      </c>
      <c r="V396" s="42">
        <f>IFERROR(MONTH(emp_db[[#This Row],[Exit Date]]),"")</f>
        <v>1</v>
      </c>
    </row>
    <row r="397" spans="2:22">
      <c r="B397" s="39"/>
      <c r="C397" s="39"/>
      <c r="D397" s="39"/>
      <c r="E397" s="39"/>
      <c r="F397" s="40"/>
      <c r="G397" s="38"/>
      <c r="H397" s="43"/>
      <c r="I397" s="43"/>
      <c r="J397" s="39"/>
      <c r="K397" s="38"/>
      <c r="L397" s="39"/>
      <c r="M397" s="39"/>
      <c r="N397" s="43"/>
      <c r="O397" s="38"/>
      <c r="P397" s="38"/>
      <c r="Q397" s="41" t="str">
        <f ca="1">IF(emp_db[[#This Row],[Exit Date]]&lt;&gt;"",(emp_db[[#This Row],[Exit Date]]-emp_db[[#This Row],[Column1]])/365,IF(emp_db[[#This Row],[ID]]&lt;&gt;"",(TODAY()-emp_db[[#This Row],[Column1]])/365,""))</f>
        <v/>
      </c>
      <c r="R397" s="42" t="str">
        <f ca="1">IF(emp_db[[#This Row],[Date of Birth]]&lt;&gt;"",(TODAY()-emp_db[[#This Row],[Date of Birth]])/365,"")</f>
        <v/>
      </c>
      <c r="S397" s="42">
        <f>YEAR(emp_db[[#This Row],[Column1]])</f>
        <v>1900</v>
      </c>
      <c r="T397" s="42">
        <f>MONTH(emp_db[[#This Row],[Column1]])</f>
        <v>1</v>
      </c>
      <c r="U397" s="42">
        <f>IFERROR(YEAR(emp_db[[#This Row],[Exit Date]]),"")</f>
        <v>1900</v>
      </c>
      <c r="V397" s="42">
        <f>IFERROR(MONTH(emp_db[[#This Row],[Exit Date]]),"")</f>
        <v>1</v>
      </c>
    </row>
    <row r="398" spans="2:22">
      <c r="B398" s="39"/>
      <c r="C398" s="39"/>
      <c r="D398" s="39"/>
      <c r="E398" s="39"/>
      <c r="F398" s="40"/>
      <c r="G398" s="38"/>
      <c r="H398" s="43"/>
      <c r="I398" s="43"/>
      <c r="J398" s="39"/>
      <c r="K398" s="38"/>
      <c r="L398" s="39"/>
      <c r="M398" s="39"/>
      <c r="N398" s="43"/>
      <c r="O398" s="38"/>
      <c r="P398" s="38"/>
      <c r="Q398" s="41" t="str">
        <f ca="1">IF(emp_db[[#This Row],[Exit Date]]&lt;&gt;"",(emp_db[[#This Row],[Exit Date]]-emp_db[[#This Row],[Column1]])/365,IF(emp_db[[#This Row],[ID]]&lt;&gt;"",(TODAY()-emp_db[[#This Row],[Column1]])/365,""))</f>
        <v/>
      </c>
      <c r="R398" s="42" t="str">
        <f ca="1">IF(emp_db[[#This Row],[Date of Birth]]&lt;&gt;"",(TODAY()-emp_db[[#This Row],[Date of Birth]])/365,"")</f>
        <v/>
      </c>
      <c r="S398" s="42">
        <f>YEAR(emp_db[[#This Row],[Column1]])</f>
        <v>1900</v>
      </c>
      <c r="T398" s="42">
        <f>MONTH(emp_db[[#This Row],[Column1]])</f>
        <v>1</v>
      </c>
      <c r="U398" s="42">
        <f>IFERROR(YEAR(emp_db[[#This Row],[Exit Date]]),"")</f>
        <v>1900</v>
      </c>
      <c r="V398" s="42">
        <f>IFERROR(MONTH(emp_db[[#This Row],[Exit Date]]),"")</f>
        <v>1</v>
      </c>
    </row>
    <row r="399" spans="2:22">
      <c r="B399" s="39"/>
      <c r="C399" s="39"/>
      <c r="D399" s="39"/>
      <c r="E399" s="39"/>
      <c r="F399" s="40"/>
      <c r="G399" s="38"/>
      <c r="H399" s="43"/>
      <c r="I399" s="43"/>
      <c r="J399" s="39"/>
      <c r="K399" s="38"/>
      <c r="L399" s="39"/>
      <c r="M399" s="39"/>
      <c r="N399" s="43"/>
      <c r="O399" s="38"/>
      <c r="P399" s="38"/>
      <c r="Q399" s="41" t="str">
        <f ca="1">IF(emp_db[[#This Row],[Exit Date]]&lt;&gt;"",(emp_db[[#This Row],[Exit Date]]-emp_db[[#This Row],[Column1]])/365,IF(emp_db[[#This Row],[ID]]&lt;&gt;"",(TODAY()-emp_db[[#This Row],[Column1]])/365,""))</f>
        <v/>
      </c>
      <c r="R399" s="42" t="str">
        <f ca="1">IF(emp_db[[#This Row],[Date of Birth]]&lt;&gt;"",(TODAY()-emp_db[[#This Row],[Date of Birth]])/365,"")</f>
        <v/>
      </c>
      <c r="S399" s="42">
        <f>YEAR(emp_db[[#This Row],[Column1]])</f>
        <v>1900</v>
      </c>
      <c r="T399" s="42">
        <f>MONTH(emp_db[[#This Row],[Column1]])</f>
        <v>1</v>
      </c>
      <c r="U399" s="42">
        <f>IFERROR(YEAR(emp_db[[#This Row],[Exit Date]]),"")</f>
        <v>1900</v>
      </c>
      <c r="V399" s="42">
        <f>IFERROR(MONTH(emp_db[[#This Row],[Exit Date]]),"")</f>
        <v>1</v>
      </c>
    </row>
    <row r="400" spans="2:22">
      <c r="B400" s="39"/>
      <c r="C400" s="39"/>
      <c r="D400" s="39"/>
      <c r="E400" s="39"/>
      <c r="F400" s="40"/>
      <c r="G400" s="38"/>
      <c r="H400" s="43"/>
      <c r="I400" s="43"/>
      <c r="J400" s="39"/>
      <c r="K400" s="38"/>
      <c r="L400" s="39"/>
      <c r="M400" s="39"/>
      <c r="N400" s="43"/>
      <c r="O400" s="38"/>
      <c r="P400" s="38"/>
      <c r="Q400" s="41" t="str">
        <f ca="1">IF(emp_db[[#This Row],[Exit Date]]&lt;&gt;"",(emp_db[[#This Row],[Exit Date]]-emp_db[[#This Row],[Column1]])/365,IF(emp_db[[#This Row],[ID]]&lt;&gt;"",(TODAY()-emp_db[[#This Row],[Column1]])/365,""))</f>
        <v/>
      </c>
      <c r="R400" s="42" t="str">
        <f ca="1">IF(emp_db[[#This Row],[Date of Birth]]&lt;&gt;"",(TODAY()-emp_db[[#This Row],[Date of Birth]])/365,"")</f>
        <v/>
      </c>
      <c r="S400" s="42">
        <f>YEAR(emp_db[[#This Row],[Column1]])</f>
        <v>1900</v>
      </c>
      <c r="T400" s="42">
        <f>MONTH(emp_db[[#This Row],[Column1]])</f>
        <v>1</v>
      </c>
      <c r="U400" s="42">
        <f>IFERROR(YEAR(emp_db[[#This Row],[Exit Date]]),"")</f>
        <v>1900</v>
      </c>
      <c r="V400" s="42">
        <f>IFERROR(MONTH(emp_db[[#This Row],[Exit Date]]),"")</f>
        <v>1</v>
      </c>
    </row>
    <row r="401" spans="2:22">
      <c r="B401" s="39"/>
      <c r="C401" s="39"/>
      <c r="D401" s="39"/>
      <c r="E401" s="39"/>
      <c r="F401" s="40"/>
      <c r="G401" s="38"/>
      <c r="H401" s="43"/>
      <c r="I401" s="43"/>
      <c r="J401" s="39"/>
      <c r="K401" s="38"/>
      <c r="L401" s="39"/>
      <c r="M401" s="39"/>
      <c r="N401" s="43"/>
      <c r="O401" s="38"/>
      <c r="P401" s="38"/>
      <c r="Q401" s="41" t="str">
        <f ca="1">IF(emp_db[[#This Row],[Exit Date]]&lt;&gt;"",(emp_db[[#This Row],[Exit Date]]-emp_db[[#This Row],[Column1]])/365,IF(emp_db[[#This Row],[ID]]&lt;&gt;"",(TODAY()-emp_db[[#This Row],[Column1]])/365,""))</f>
        <v/>
      </c>
      <c r="R401" s="42" t="str">
        <f ca="1">IF(emp_db[[#This Row],[Date of Birth]]&lt;&gt;"",(TODAY()-emp_db[[#This Row],[Date of Birth]])/365,"")</f>
        <v/>
      </c>
      <c r="S401" s="42">
        <f>YEAR(emp_db[[#This Row],[Column1]])</f>
        <v>1900</v>
      </c>
      <c r="T401" s="42">
        <f>MONTH(emp_db[[#This Row],[Column1]])</f>
        <v>1</v>
      </c>
      <c r="U401" s="42">
        <f>IFERROR(YEAR(emp_db[[#This Row],[Exit Date]]),"")</f>
        <v>1900</v>
      </c>
      <c r="V401" s="42">
        <f>IFERROR(MONTH(emp_db[[#This Row],[Exit Date]]),"")</f>
        <v>1</v>
      </c>
    </row>
    <row r="402" spans="2:22">
      <c r="B402" s="39"/>
      <c r="C402" s="39"/>
      <c r="D402" s="39"/>
      <c r="E402" s="39"/>
      <c r="F402" s="40"/>
      <c r="G402" s="38"/>
      <c r="H402" s="43"/>
      <c r="I402" s="43"/>
      <c r="J402" s="39"/>
      <c r="K402" s="38"/>
      <c r="L402" s="39"/>
      <c r="M402" s="39"/>
      <c r="N402" s="43"/>
      <c r="O402" s="38"/>
      <c r="P402" s="38"/>
      <c r="Q402" s="41" t="str">
        <f ca="1">IF(emp_db[[#This Row],[Exit Date]]&lt;&gt;"",(emp_db[[#This Row],[Exit Date]]-emp_db[[#This Row],[Column1]])/365,IF(emp_db[[#This Row],[ID]]&lt;&gt;"",(TODAY()-emp_db[[#This Row],[Column1]])/365,""))</f>
        <v/>
      </c>
      <c r="R402" s="42" t="str">
        <f ca="1">IF(emp_db[[#This Row],[Date of Birth]]&lt;&gt;"",(TODAY()-emp_db[[#This Row],[Date of Birth]])/365,"")</f>
        <v/>
      </c>
      <c r="S402" s="42">
        <f>YEAR(emp_db[[#This Row],[Column1]])</f>
        <v>1900</v>
      </c>
      <c r="T402" s="42">
        <f>MONTH(emp_db[[#This Row],[Column1]])</f>
        <v>1</v>
      </c>
      <c r="U402" s="42">
        <f>IFERROR(YEAR(emp_db[[#This Row],[Exit Date]]),"")</f>
        <v>1900</v>
      </c>
      <c r="V402" s="42">
        <f>IFERROR(MONTH(emp_db[[#This Row],[Exit Date]]),"")</f>
        <v>1</v>
      </c>
    </row>
    <row r="403" spans="2:22">
      <c r="B403" s="39"/>
      <c r="C403" s="39"/>
      <c r="D403" s="39"/>
      <c r="E403" s="39"/>
      <c r="F403" s="40"/>
      <c r="G403" s="38"/>
      <c r="H403" s="43"/>
      <c r="I403" s="43"/>
      <c r="J403" s="39"/>
      <c r="K403" s="38"/>
      <c r="L403" s="39"/>
      <c r="M403" s="39"/>
      <c r="N403" s="43"/>
      <c r="O403" s="38"/>
      <c r="P403" s="38"/>
      <c r="Q403" s="41" t="str">
        <f ca="1">IF(emp_db[[#This Row],[Exit Date]]&lt;&gt;"",(emp_db[[#This Row],[Exit Date]]-emp_db[[#This Row],[Column1]])/365,IF(emp_db[[#This Row],[ID]]&lt;&gt;"",(TODAY()-emp_db[[#This Row],[Column1]])/365,""))</f>
        <v/>
      </c>
      <c r="R403" s="42" t="str">
        <f ca="1">IF(emp_db[[#This Row],[Date of Birth]]&lt;&gt;"",(TODAY()-emp_db[[#This Row],[Date of Birth]])/365,"")</f>
        <v/>
      </c>
      <c r="S403" s="42">
        <f>YEAR(emp_db[[#This Row],[Column1]])</f>
        <v>1900</v>
      </c>
      <c r="T403" s="42">
        <f>MONTH(emp_db[[#This Row],[Column1]])</f>
        <v>1</v>
      </c>
      <c r="U403" s="42">
        <f>IFERROR(YEAR(emp_db[[#This Row],[Exit Date]]),"")</f>
        <v>1900</v>
      </c>
      <c r="V403" s="42">
        <f>IFERROR(MONTH(emp_db[[#This Row],[Exit Date]]),"")</f>
        <v>1</v>
      </c>
    </row>
    <row r="404" spans="2:22">
      <c r="B404" s="39"/>
      <c r="C404" s="39"/>
      <c r="D404" s="39"/>
      <c r="E404" s="39"/>
      <c r="F404" s="40"/>
      <c r="G404" s="38"/>
      <c r="H404" s="43"/>
      <c r="I404" s="43"/>
      <c r="J404" s="39"/>
      <c r="K404" s="38"/>
      <c r="L404" s="39"/>
      <c r="M404" s="39"/>
      <c r="N404" s="43"/>
      <c r="O404" s="38"/>
      <c r="P404" s="38"/>
      <c r="Q404" s="41" t="str">
        <f ca="1">IF(emp_db[[#This Row],[Exit Date]]&lt;&gt;"",(emp_db[[#This Row],[Exit Date]]-emp_db[[#This Row],[Column1]])/365,IF(emp_db[[#This Row],[ID]]&lt;&gt;"",(TODAY()-emp_db[[#This Row],[Column1]])/365,""))</f>
        <v/>
      </c>
      <c r="R404" s="42" t="str">
        <f ca="1">IF(emp_db[[#This Row],[Date of Birth]]&lt;&gt;"",(TODAY()-emp_db[[#This Row],[Date of Birth]])/365,"")</f>
        <v/>
      </c>
      <c r="S404" s="42">
        <f>YEAR(emp_db[[#This Row],[Column1]])</f>
        <v>1900</v>
      </c>
      <c r="T404" s="42">
        <f>MONTH(emp_db[[#This Row],[Column1]])</f>
        <v>1</v>
      </c>
      <c r="U404" s="42">
        <f>IFERROR(YEAR(emp_db[[#This Row],[Exit Date]]),"")</f>
        <v>1900</v>
      </c>
      <c r="V404" s="42">
        <f>IFERROR(MONTH(emp_db[[#This Row],[Exit Date]]),"")</f>
        <v>1</v>
      </c>
    </row>
    <row r="405" spans="2:22">
      <c r="B405" s="39"/>
      <c r="C405" s="39"/>
      <c r="D405" s="39"/>
      <c r="E405" s="39"/>
      <c r="F405" s="40"/>
      <c r="G405" s="38"/>
      <c r="H405" s="43"/>
      <c r="I405" s="43"/>
      <c r="J405" s="39"/>
      <c r="K405" s="38"/>
      <c r="L405" s="39"/>
      <c r="M405" s="39"/>
      <c r="N405" s="43"/>
      <c r="O405" s="38"/>
      <c r="P405" s="38"/>
      <c r="Q405" s="41" t="str">
        <f ca="1">IF(emp_db[[#This Row],[Exit Date]]&lt;&gt;"",(emp_db[[#This Row],[Exit Date]]-emp_db[[#This Row],[Column1]])/365,IF(emp_db[[#This Row],[ID]]&lt;&gt;"",(TODAY()-emp_db[[#This Row],[Column1]])/365,""))</f>
        <v/>
      </c>
      <c r="R405" s="42" t="str">
        <f ca="1">IF(emp_db[[#This Row],[Date of Birth]]&lt;&gt;"",(TODAY()-emp_db[[#This Row],[Date of Birth]])/365,"")</f>
        <v/>
      </c>
      <c r="S405" s="42">
        <f>YEAR(emp_db[[#This Row],[Column1]])</f>
        <v>1900</v>
      </c>
      <c r="T405" s="42">
        <f>MONTH(emp_db[[#This Row],[Column1]])</f>
        <v>1</v>
      </c>
      <c r="U405" s="42">
        <f>IFERROR(YEAR(emp_db[[#This Row],[Exit Date]]),"")</f>
        <v>1900</v>
      </c>
      <c r="V405" s="42">
        <f>IFERROR(MONTH(emp_db[[#This Row],[Exit Date]]),"")</f>
        <v>1</v>
      </c>
    </row>
    <row r="406" spans="2:22">
      <c r="B406" s="39"/>
      <c r="C406" s="39"/>
      <c r="D406" s="39"/>
      <c r="E406" s="39"/>
      <c r="F406" s="40"/>
      <c r="G406" s="38"/>
      <c r="H406" s="43"/>
      <c r="I406" s="43"/>
      <c r="J406" s="39"/>
      <c r="K406" s="38"/>
      <c r="L406" s="39"/>
      <c r="M406" s="39"/>
      <c r="N406" s="43"/>
      <c r="O406" s="38"/>
      <c r="P406" s="38"/>
      <c r="Q406" s="41" t="str">
        <f ca="1">IF(emp_db[[#This Row],[Exit Date]]&lt;&gt;"",(emp_db[[#This Row],[Exit Date]]-emp_db[[#This Row],[Column1]])/365,IF(emp_db[[#This Row],[ID]]&lt;&gt;"",(TODAY()-emp_db[[#This Row],[Column1]])/365,""))</f>
        <v/>
      </c>
      <c r="R406" s="42" t="str">
        <f ca="1">IF(emp_db[[#This Row],[Date of Birth]]&lt;&gt;"",(TODAY()-emp_db[[#This Row],[Date of Birth]])/365,"")</f>
        <v/>
      </c>
      <c r="S406" s="42">
        <f>YEAR(emp_db[[#This Row],[Column1]])</f>
        <v>1900</v>
      </c>
      <c r="T406" s="42">
        <f>MONTH(emp_db[[#This Row],[Column1]])</f>
        <v>1</v>
      </c>
      <c r="U406" s="42">
        <f>IFERROR(YEAR(emp_db[[#This Row],[Exit Date]]),"")</f>
        <v>1900</v>
      </c>
      <c r="V406" s="42">
        <f>IFERROR(MONTH(emp_db[[#This Row],[Exit Date]]),"")</f>
        <v>1</v>
      </c>
    </row>
    <row r="407" spans="2:22">
      <c r="B407" s="39"/>
      <c r="C407" s="39"/>
      <c r="D407" s="39"/>
      <c r="E407" s="39"/>
      <c r="F407" s="40"/>
      <c r="G407" s="38"/>
      <c r="H407" s="43"/>
      <c r="I407" s="43"/>
      <c r="J407" s="39"/>
      <c r="K407" s="38"/>
      <c r="L407" s="39"/>
      <c r="M407" s="39"/>
      <c r="N407" s="43"/>
      <c r="O407" s="38"/>
      <c r="P407" s="38"/>
      <c r="Q407" s="41" t="str">
        <f ca="1">IF(emp_db[[#This Row],[Exit Date]]&lt;&gt;"",(emp_db[[#This Row],[Exit Date]]-emp_db[[#This Row],[Column1]])/365,IF(emp_db[[#This Row],[ID]]&lt;&gt;"",(TODAY()-emp_db[[#This Row],[Column1]])/365,""))</f>
        <v/>
      </c>
      <c r="R407" s="42" t="str">
        <f ca="1">IF(emp_db[[#This Row],[Date of Birth]]&lt;&gt;"",(TODAY()-emp_db[[#This Row],[Date of Birth]])/365,"")</f>
        <v/>
      </c>
      <c r="S407" s="42">
        <f>YEAR(emp_db[[#This Row],[Column1]])</f>
        <v>1900</v>
      </c>
      <c r="T407" s="42">
        <f>MONTH(emp_db[[#This Row],[Column1]])</f>
        <v>1</v>
      </c>
      <c r="U407" s="42">
        <f>IFERROR(YEAR(emp_db[[#This Row],[Exit Date]]),"")</f>
        <v>1900</v>
      </c>
      <c r="V407" s="42">
        <f>IFERROR(MONTH(emp_db[[#This Row],[Exit Date]]),"")</f>
        <v>1</v>
      </c>
    </row>
    <row r="408" spans="2:22">
      <c r="B408" s="39"/>
      <c r="C408" s="39"/>
      <c r="D408" s="39"/>
      <c r="E408" s="39"/>
      <c r="F408" s="40"/>
      <c r="G408" s="38"/>
      <c r="H408" s="43"/>
      <c r="I408" s="43"/>
      <c r="J408" s="39"/>
      <c r="K408" s="38"/>
      <c r="L408" s="39"/>
      <c r="M408" s="39"/>
      <c r="N408" s="43"/>
      <c r="O408" s="38"/>
      <c r="P408" s="38"/>
      <c r="Q408" s="41" t="str">
        <f ca="1">IF(emp_db[[#This Row],[Exit Date]]&lt;&gt;"",(emp_db[[#This Row],[Exit Date]]-emp_db[[#This Row],[Column1]])/365,IF(emp_db[[#This Row],[ID]]&lt;&gt;"",(TODAY()-emp_db[[#This Row],[Column1]])/365,""))</f>
        <v/>
      </c>
      <c r="R408" s="42" t="str">
        <f ca="1">IF(emp_db[[#This Row],[Date of Birth]]&lt;&gt;"",(TODAY()-emp_db[[#This Row],[Date of Birth]])/365,"")</f>
        <v/>
      </c>
      <c r="S408" s="42">
        <f>YEAR(emp_db[[#This Row],[Column1]])</f>
        <v>1900</v>
      </c>
      <c r="T408" s="42">
        <f>MONTH(emp_db[[#This Row],[Column1]])</f>
        <v>1</v>
      </c>
      <c r="U408" s="42">
        <f>IFERROR(YEAR(emp_db[[#This Row],[Exit Date]]),"")</f>
        <v>1900</v>
      </c>
      <c r="V408" s="42">
        <f>IFERROR(MONTH(emp_db[[#This Row],[Exit Date]]),"")</f>
        <v>1</v>
      </c>
    </row>
    <row r="409" spans="2:22">
      <c r="B409" s="39"/>
      <c r="C409" s="39"/>
      <c r="D409" s="39"/>
      <c r="E409" s="39"/>
      <c r="F409" s="40"/>
      <c r="G409" s="38"/>
      <c r="H409" s="43"/>
      <c r="I409" s="43"/>
      <c r="J409" s="39"/>
      <c r="K409" s="38"/>
      <c r="L409" s="39"/>
      <c r="M409" s="39"/>
      <c r="N409" s="43"/>
      <c r="O409" s="38"/>
      <c r="P409" s="38"/>
      <c r="Q409" s="41" t="str">
        <f ca="1">IF(emp_db[[#This Row],[Exit Date]]&lt;&gt;"",(emp_db[[#This Row],[Exit Date]]-emp_db[[#This Row],[Column1]])/365,IF(emp_db[[#This Row],[ID]]&lt;&gt;"",(TODAY()-emp_db[[#This Row],[Column1]])/365,""))</f>
        <v/>
      </c>
      <c r="R409" s="42" t="str">
        <f ca="1">IF(emp_db[[#This Row],[Date of Birth]]&lt;&gt;"",(TODAY()-emp_db[[#This Row],[Date of Birth]])/365,"")</f>
        <v/>
      </c>
      <c r="S409" s="42">
        <f>YEAR(emp_db[[#This Row],[Column1]])</f>
        <v>1900</v>
      </c>
      <c r="T409" s="42">
        <f>MONTH(emp_db[[#This Row],[Column1]])</f>
        <v>1</v>
      </c>
      <c r="U409" s="42">
        <f>IFERROR(YEAR(emp_db[[#This Row],[Exit Date]]),"")</f>
        <v>1900</v>
      </c>
      <c r="V409" s="42">
        <f>IFERROR(MONTH(emp_db[[#This Row],[Exit Date]]),"")</f>
        <v>1</v>
      </c>
    </row>
    <row r="410" spans="2:22">
      <c r="B410" s="39"/>
      <c r="C410" s="39"/>
      <c r="D410" s="39"/>
      <c r="E410" s="39"/>
      <c r="F410" s="40"/>
      <c r="G410" s="38"/>
      <c r="H410" s="43"/>
      <c r="I410" s="43"/>
      <c r="J410" s="39"/>
      <c r="K410" s="38"/>
      <c r="L410" s="39"/>
      <c r="M410" s="39"/>
      <c r="N410" s="43"/>
      <c r="O410" s="38"/>
      <c r="P410" s="38"/>
      <c r="Q410" s="41" t="str">
        <f ca="1">IF(emp_db[[#This Row],[Exit Date]]&lt;&gt;"",(emp_db[[#This Row],[Exit Date]]-emp_db[[#This Row],[Column1]])/365,IF(emp_db[[#This Row],[ID]]&lt;&gt;"",(TODAY()-emp_db[[#This Row],[Column1]])/365,""))</f>
        <v/>
      </c>
      <c r="R410" s="42" t="str">
        <f ca="1">IF(emp_db[[#This Row],[Date of Birth]]&lt;&gt;"",(TODAY()-emp_db[[#This Row],[Date of Birth]])/365,"")</f>
        <v/>
      </c>
      <c r="S410" s="42">
        <f>YEAR(emp_db[[#This Row],[Column1]])</f>
        <v>1900</v>
      </c>
      <c r="T410" s="42">
        <f>MONTH(emp_db[[#This Row],[Column1]])</f>
        <v>1</v>
      </c>
      <c r="U410" s="42">
        <f>IFERROR(YEAR(emp_db[[#This Row],[Exit Date]]),"")</f>
        <v>1900</v>
      </c>
      <c r="V410" s="42">
        <f>IFERROR(MONTH(emp_db[[#This Row],[Exit Date]]),"")</f>
        <v>1</v>
      </c>
    </row>
    <row r="411" spans="2:22">
      <c r="B411" s="39"/>
      <c r="C411" s="39"/>
      <c r="D411" s="39"/>
      <c r="E411" s="39"/>
      <c r="F411" s="40"/>
      <c r="G411" s="38"/>
      <c r="H411" s="43"/>
      <c r="I411" s="43"/>
      <c r="J411" s="39"/>
      <c r="K411" s="38"/>
      <c r="L411" s="39"/>
      <c r="M411" s="39"/>
      <c r="N411" s="43"/>
      <c r="O411" s="38"/>
      <c r="P411" s="38"/>
      <c r="Q411" s="41" t="str">
        <f ca="1">IF(emp_db[[#This Row],[Exit Date]]&lt;&gt;"",(emp_db[[#This Row],[Exit Date]]-emp_db[[#This Row],[Column1]])/365,IF(emp_db[[#This Row],[ID]]&lt;&gt;"",(TODAY()-emp_db[[#This Row],[Column1]])/365,""))</f>
        <v/>
      </c>
      <c r="R411" s="42" t="str">
        <f ca="1">IF(emp_db[[#This Row],[Date of Birth]]&lt;&gt;"",(TODAY()-emp_db[[#This Row],[Date of Birth]])/365,"")</f>
        <v/>
      </c>
      <c r="S411" s="42">
        <f>YEAR(emp_db[[#This Row],[Column1]])</f>
        <v>1900</v>
      </c>
      <c r="T411" s="42">
        <f>MONTH(emp_db[[#This Row],[Column1]])</f>
        <v>1</v>
      </c>
      <c r="U411" s="42">
        <f>IFERROR(YEAR(emp_db[[#This Row],[Exit Date]]),"")</f>
        <v>1900</v>
      </c>
      <c r="V411" s="42">
        <f>IFERROR(MONTH(emp_db[[#This Row],[Exit Date]]),"")</f>
        <v>1</v>
      </c>
    </row>
    <row r="412" spans="2:22">
      <c r="B412" s="39"/>
      <c r="C412" s="39"/>
      <c r="D412" s="39"/>
      <c r="E412" s="39"/>
      <c r="F412" s="40"/>
      <c r="G412" s="38"/>
      <c r="H412" s="43"/>
      <c r="I412" s="43"/>
      <c r="J412" s="39"/>
      <c r="K412" s="38"/>
      <c r="L412" s="39"/>
      <c r="M412" s="39"/>
      <c r="N412" s="43"/>
      <c r="O412" s="38"/>
      <c r="P412" s="38"/>
      <c r="Q412" s="41" t="str">
        <f ca="1">IF(emp_db[[#This Row],[Exit Date]]&lt;&gt;"",(emp_db[[#This Row],[Exit Date]]-emp_db[[#This Row],[Column1]])/365,IF(emp_db[[#This Row],[ID]]&lt;&gt;"",(TODAY()-emp_db[[#This Row],[Column1]])/365,""))</f>
        <v/>
      </c>
      <c r="R412" s="42" t="str">
        <f ca="1">IF(emp_db[[#This Row],[Date of Birth]]&lt;&gt;"",(TODAY()-emp_db[[#This Row],[Date of Birth]])/365,"")</f>
        <v/>
      </c>
      <c r="S412" s="42">
        <f>YEAR(emp_db[[#This Row],[Column1]])</f>
        <v>1900</v>
      </c>
      <c r="T412" s="42">
        <f>MONTH(emp_db[[#This Row],[Column1]])</f>
        <v>1</v>
      </c>
      <c r="U412" s="42">
        <f>IFERROR(YEAR(emp_db[[#This Row],[Exit Date]]),"")</f>
        <v>1900</v>
      </c>
      <c r="V412" s="42">
        <f>IFERROR(MONTH(emp_db[[#This Row],[Exit Date]]),"")</f>
        <v>1</v>
      </c>
    </row>
    <row r="413" spans="2:22">
      <c r="B413" s="39"/>
      <c r="C413" s="39"/>
      <c r="D413" s="39"/>
      <c r="E413" s="39"/>
      <c r="F413" s="40"/>
      <c r="G413" s="38"/>
      <c r="H413" s="43"/>
      <c r="I413" s="43"/>
      <c r="J413" s="39"/>
      <c r="K413" s="38"/>
      <c r="L413" s="39"/>
      <c r="M413" s="39"/>
      <c r="N413" s="43"/>
      <c r="O413" s="38"/>
      <c r="P413" s="38"/>
      <c r="Q413" s="41" t="str">
        <f ca="1">IF(emp_db[[#This Row],[Exit Date]]&lt;&gt;"",(emp_db[[#This Row],[Exit Date]]-emp_db[[#This Row],[Column1]])/365,IF(emp_db[[#This Row],[ID]]&lt;&gt;"",(TODAY()-emp_db[[#This Row],[Column1]])/365,""))</f>
        <v/>
      </c>
      <c r="R413" s="42" t="str">
        <f ca="1">IF(emp_db[[#This Row],[Date of Birth]]&lt;&gt;"",(TODAY()-emp_db[[#This Row],[Date of Birth]])/365,"")</f>
        <v/>
      </c>
      <c r="S413" s="42">
        <f>YEAR(emp_db[[#This Row],[Column1]])</f>
        <v>1900</v>
      </c>
      <c r="T413" s="42">
        <f>MONTH(emp_db[[#This Row],[Column1]])</f>
        <v>1</v>
      </c>
      <c r="U413" s="42">
        <f>IFERROR(YEAR(emp_db[[#This Row],[Exit Date]]),"")</f>
        <v>1900</v>
      </c>
      <c r="V413" s="42">
        <f>IFERROR(MONTH(emp_db[[#This Row],[Exit Date]]),"")</f>
        <v>1</v>
      </c>
    </row>
    <row r="414" spans="2:22">
      <c r="B414" s="39"/>
      <c r="C414" s="39"/>
      <c r="D414" s="39"/>
      <c r="E414" s="39"/>
      <c r="F414" s="40"/>
      <c r="G414" s="38"/>
      <c r="H414" s="43"/>
      <c r="I414" s="43"/>
      <c r="J414" s="39"/>
      <c r="K414" s="38"/>
      <c r="L414" s="39"/>
      <c r="M414" s="39"/>
      <c r="N414" s="43"/>
      <c r="O414" s="38"/>
      <c r="P414" s="38"/>
      <c r="Q414" s="41" t="str">
        <f ca="1">IF(emp_db[[#This Row],[Exit Date]]&lt;&gt;"",(emp_db[[#This Row],[Exit Date]]-emp_db[[#This Row],[Column1]])/365,IF(emp_db[[#This Row],[ID]]&lt;&gt;"",(TODAY()-emp_db[[#This Row],[Column1]])/365,""))</f>
        <v/>
      </c>
      <c r="R414" s="42" t="str">
        <f ca="1">IF(emp_db[[#This Row],[Date of Birth]]&lt;&gt;"",(TODAY()-emp_db[[#This Row],[Date of Birth]])/365,"")</f>
        <v/>
      </c>
      <c r="S414" s="42">
        <f>YEAR(emp_db[[#This Row],[Column1]])</f>
        <v>1900</v>
      </c>
      <c r="T414" s="42">
        <f>MONTH(emp_db[[#This Row],[Column1]])</f>
        <v>1</v>
      </c>
      <c r="U414" s="42">
        <f>IFERROR(YEAR(emp_db[[#This Row],[Exit Date]]),"")</f>
        <v>1900</v>
      </c>
      <c r="V414" s="42">
        <f>IFERROR(MONTH(emp_db[[#This Row],[Exit Date]]),"")</f>
        <v>1</v>
      </c>
    </row>
    <row r="415" spans="2:22">
      <c r="B415" s="39"/>
      <c r="C415" s="39"/>
      <c r="D415" s="39"/>
      <c r="E415" s="39"/>
      <c r="F415" s="40"/>
      <c r="G415" s="38"/>
      <c r="H415" s="43"/>
      <c r="I415" s="43"/>
      <c r="J415" s="39"/>
      <c r="K415" s="38"/>
      <c r="L415" s="39"/>
      <c r="M415" s="39"/>
      <c r="N415" s="43"/>
      <c r="O415" s="38"/>
      <c r="P415" s="38"/>
      <c r="Q415" s="41" t="str">
        <f ca="1">IF(emp_db[[#This Row],[Exit Date]]&lt;&gt;"",(emp_db[[#This Row],[Exit Date]]-emp_db[[#This Row],[Column1]])/365,IF(emp_db[[#This Row],[ID]]&lt;&gt;"",(TODAY()-emp_db[[#This Row],[Column1]])/365,""))</f>
        <v/>
      </c>
      <c r="R415" s="42" t="str">
        <f ca="1">IF(emp_db[[#This Row],[Date of Birth]]&lt;&gt;"",(TODAY()-emp_db[[#This Row],[Date of Birth]])/365,"")</f>
        <v/>
      </c>
      <c r="S415" s="42">
        <f>YEAR(emp_db[[#This Row],[Column1]])</f>
        <v>1900</v>
      </c>
      <c r="T415" s="42">
        <f>MONTH(emp_db[[#This Row],[Column1]])</f>
        <v>1</v>
      </c>
      <c r="U415" s="42">
        <f>IFERROR(YEAR(emp_db[[#This Row],[Exit Date]]),"")</f>
        <v>1900</v>
      </c>
      <c r="V415" s="42">
        <f>IFERROR(MONTH(emp_db[[#This Row],[Exit Date]]),"")</f>
        <v>1</v>
      </c>
    </row>
    <row r="416" spans="2:22">
      <c r="B416" s="39"/>
      <c r="C416" s="39"/>
      <c r="D416" s="39"/>
      <c r="E416" s="39"/>
      <c r="F416" s="40"/>
      <c r="G416" s="38"/>
      <c r="H416" s="43"/>
      <c r="I416" s="43"/>
      <c r="J416" s="39"/>
      <c r="K416" s="38"/>
      <c r="L416" s="39"/>
      <c r="M416" s="39"/>
      <c r="N416" s="43"/>
      <c r="O416" s="38"/>
      <c r="P416" s="38"/>
      <c r="Q416" s="41" t="str">
        <f ca="1">IF(emp_db[[#This Row],[Exit Date]]&lt;&gt;"",(emp_db[[#This Row],[Exit Date]]-emp_db[[#This Row],[Column1]])/365,IF(emp_db[[#This Row],[ID]]&lt;&gt;"",(TODAY()-emp_db[[#This Row],[Column1]])/365,""))</f>
        <v/>
      </c>
      <c r="R416" s="42" t="str">
        <f ca="1">IF(emp_db[[#This Row],[Date of Birth]]&lt;&gt;"",(TODAY()-emp_db[[#This Row],[Date of Birth]])/365,"")</f>
        <v/>
      </c>
      <c r="S416" s="42">
        <f>YEAR(emp_db[[#This Row],[Column1]])</f>
        <v>1900</v>
      </c>
      <c r="T416" s="42">
        <f>MONTH(emp_db[[#This Row],[Column1]])</f>
        <v>1</v>
      </c>
      <c r="U416" s="42">
        <f>IFERROR(YEAR(emp_db[[#This Row],[Exit Date]]),"")</f>
        <v>1900</v>
      </c>
      <c r="V416" s="42">
        <f>IFERROR(MONTH(emp_db[[#This Row],[Exit Date]]),"")</f>
        <v>1</v>
      </c>
    </row>
    <row r="417" spans="2:22">
      <c r="B417" s="39"/>
      <c r="C417" s="39"/>
      <c r="D417" s="39"/>
      <c r="E417" s="39"/>
      <c r="F417" s="40"/>
      <c r="G417" s="38"/>
      <c r="H417" s="43"/>
      <c r="I417" s="43"/>
      <c r="J417" s="39"/>
      <c r="K417" s="38"/>
      <c r="L417" s="39"/>
      <c r="M417" s="39"/>
      <c r="N417" s="43"/>
      <c r="O417" s="38"/>
      <c r="P417" s="38"/>
      <c r="Q417" s="41" t="str">
        <f ca="1">IF(emp_db[[#This Row],[Exit Date]]&lt;&gt;"",(emp_db[[#This Row],[Exit Date]]-emp_db[[#This Row],[Column1]])/365,IF(emp_db[[#This Row],[ID]]&lt;&gt;"",(TODAY()-emp_db[[#This Row],[Column1]])/365,""))</f>
        <v/>
      </c>
      <c r="R417" s="42" t="str">
        <f ca="1">IF(emp_db[[#This Row],[Date of Birth]]&lt;&gt;"",(TODAY()-emp_db[[#This Row],[Date of Birth]])/365,"")</f>
        <v/>
      </c>
      <c r="S417" s="42">
        <f>YEAR(emp_db[[#This Row],[Column1]])</f>
        <v>1900</v>
      </c>
      <c r="T417" s="42">
        <f>MONTH(emp_db[[#This Row],[Column1]])</f>
        <v>1</v>
      </c>
      <c r="U417" s="42">
        <f>IFERROR(YEAR(emp_db[[#This Row],[Exit Date]]),"")</f>
        <v>1900</v>
      </c>
      <c r="V417" s="42">
        <f>IFERROR(MONTH(emp_db[[#This Row],[Exit Date]]),"")</f>
        <v>1</v>
      </c>
    </row>
    <row r="418" spans="2:22">
      <c r="B418" s="39"/>
      <c r="C418" s="39"/>
      <c r="D418" s="39"/>
      <c r="E418" s="39"/>
      <c r="F418" s="40"/>
      <c r="G418" s="38"/>
      <c r="H418" s="43"/>
      <c r="I418" s="43"/>
      <c r="J418" s="39"/>
      <c r="K418" s="38"/>
      <c r="L418" s="39"/>
      <c r="M418" s="39"/>
      <c r="N418" s="43"/>
      <c r="O418" s="38"/>
      <c r="P418" s="38"/>
      <c r="Q418" s="41" t="str">
        <f ca="1">IF(emp_db[[#This Row],[Exit Date]]&lt;&gt;"",(emp_db[[#This Row],[Exit Date]]-emp_db[[#This Row],[Column1]])/365,IF(emp_db[[#This Row],[ID]]&lt;&gt;"",(TODAY()-emp_db[[#This Row],[Column1]])/365,""))</f>
        <v/>
      </c>
      <c r="R418" s="42" t="str">
        <f ca="1">IF(emp_db[[#This Row],[Date of Birth]]&lt;&gt;"",(TODAY()-emp_db[[#This Row],[Date of Birth]])/365,"")</f>
        <v/>
      </c>
      <c r="S418" s="42">
        <f>YEAR(emp_db[[#This Row],[Column1]])</f>
        <v>1900</v>
      </c>
      <c r="T418" s="42">
        <f>MONTH(emp_db[[#This Row],[Column1]])</f>
        <v>1</v>
      </c>
      <c r="U418" s="42">
        <f>IFERROR(YEAR(emp_db[[#This Row],[Exit Date]]),"")</f>
        <v>1900</v>
      </c>
      <c r="V418" s="42">
        <f>IFERROR(MONTH(emp_db[[#This Row],[Exit Date]]),"")</f>
        <v>1</v>
      </c>
    </row>
    <row r="419" spans="2:22">
      <c r="B419" s="39"/>
      <c r="C419" s="39"/>
      <c r="D419" s="39"/>
      <c r="E419" s="39"/>
      <c r="F419" s="40"/>
      <c r="G419" s="38"/>
      <c r="H419" s="43"/>
      <c r="I419" s="43"/>
      <c r="J419" s="39"/>
      <c r="K419" s="38"/>
      <c r="L419" s="39"/>
      <c r="M419" s="39"/>
      <c r="N419" s="43"/>
      <c r="O419" s="38"/>
      <c r="P419" s="38"/>
      <c r="Q419" s="41" t="str">
        <f ca="1">IF(emp_db[[#This Row],[Exit Date]]&lt;&gt;"",(emp_db[[#This Row],[Exit Date]]-emp_db[[#This Row],[Column1]])/365,IF(emp_db[[#This Row],[ID]]&lt;&gt;"",(TODAY()-emp_db[[#This Row],[Column1]])/365,""))</f>
        <v/>
      </c>
      <c r="R419" s="42" t="str">
        <f ca="1">IF(emp_db[[#This Row],[Date of Birth]]&lt;&gt;"",(TODAY()-emp_db[[#This Row],[Date of Birth]])/365,"")</f>
        <v/>
      </c>
      <c r="S419" s="42">
        <f>YEAR(emp_db[[#This Row],[Column1]])</f>
        <v>1900</v>
      </c>
      <c r="T419" s="42">
        <f>MONTH(emp_db[[#This Row],[Column1]])</f>
        <v>1</v>
      </c>
      <c r="U419" s="42">
        <f>IFERROR(YEAR(emp_db[[#This Row],[Exit Date]]),"")</f>
        <v>1900</v>
      </c>
      <c r="V419" s="42">
        <f>IFERROR(MONTH(emp_db[[#This Row],[Exit Date]]),"")</f>
        <v>1</v>
      </c>
    </row>
    <row r="420" spans="2:22">
      <c r="B420" s="39"/>
      <c r="C420" s="39"/>
      <c r="D420" s="39"/>
      <c r="E420" s="39"/>
      <c r="F420" s="40"/>
      <c r="G420" s="38"/>
      <c r="H420" s="43"/>
      <c r="I420" s="43"/>
      <c r="J420" s="39"/>
      <c r="K420" s="38"/>
      <c r="L420" s="39"/>
      <c r="M420" s="39"/>
      <c r="N420" s="43"/>
      <c r="O420" s="38"/>
      <c r="P420" s="38"/>
      <c r="Q420" s="41" t="str">
        <f ca="1">IF(emp_db[[#This Row],[Exit Date]]&lt;&gt;"",(emp_db[[#This Row],[Exit Date]]-emp_db[[#This Row],[Column1]])/365,IF(emp_db[[#This Row],[ID]]&lt;&gt;"",(TODAY()-emp_db[[#This Row],[Column1]])/365,""))</f>
        <v/>
      </c>
      <c r="R420" s="42" t="str">
        <f ca="1">IF(emp_db[[#This Row],[Date of Birth]]&lt;&gt;"",(TODAY()-emp_db[[#This Row],[Date of Birth]])/365,"")</f>
        <v/>
      </c>
      <c r="S420" s="42">
        <f>YEAR(emp_db[[#This Row],[Column1]])</f>
        <v>1900</v>
      </c>
      <c r="T420" s="42">
        <f>MONTH(emp_db[[#This Row],[Column1]])</f>
        <v>1</v>
      </c>
      <c r="U420" s="42">
        <f>IFERROR(YEAR(emp_db[[#This Row],[Exit Date]]),"")</f>
        <v>1900</v>
      </c>
      <c r="V420" s="42">
        <f>IFERROR(MONTH(emp_db[[#This Row],[Exit Date]]),"")</f>
        <v>1</v>
      </c>
    </row>
    <row r="421" spans="2:22">
      <c r="B421" s="39"/>
      <c r="C421" s="39"/>
      <c r="D421" s="39"/>
      <c r="E421" s="39"/>
      <c r="F421" s="40"/>
      <c r="G421" s="38"/>
      <c r="H421" s="43"/>
      <c r="I421" s="43"/>
      <c r="J421" s="39"/>
      <c r="K421" s="38"/>
      <c r="L421" s="39"/>
      <c r="M421" s="39"/>
      <c r="N421" s="43"/>
      <c r="O421" s="38"/>
      <c r="P421" s="38"/>
      <c r="Q421" s="41" t="str">
        <f ca="1">IF(emp_db[[#This Row],[Exit Date]]&lt;&gt;"",(emp_db[[#This Row],[Exit Date]]-emp_db[[#This Row],[Column1]])/365,IF(emp_db[[#This Row],[ID]]&lt;&gt;"",(TODAY()-emp_db[[#This Row],[Column1]])/365,""))</f>
        <v/>
      </c>
      <c r="R421" s="42" t="str">
        <f ca="1">IF(emp_db[[#This Row],[Date of Birth]]&lt;&gt;"",(TODAY()-emp_db[[#This Row],[Date of Birth]])/365,"")</f>
        <v/>
      </c>
      <c r="S421" s="42">
        <f>YEAR(emp_db[[#This Row],[Column1]])</f>
        <v>1900</v>
      </c>
      <c r="T421" s="42">
        <f>MONTH(emp_db[[#This Row],[Column1]])</f>
        <v>1</v>
      </c>
      <c r="U421" s="42">
        <f>IFERROR(YEAR(emp_db[[#This Row],[Exit Date]]),"")</f>
        <v>1900</v>
      </c>
      <c r="V421" s="42">
        <f>IFERROR(MONTH(emp_db[[#This Row],[Exit Date]]),"")</f>
        <v>1</v>
      </c>
    </row>
    <row r="422" spans="2:22">
      <c r="B422" s="39"/>
      <c r="C422" s="39"/>
      <c r="D422" s="39"/>
      <c r="E422" s="39"/>
      <c r="F422" s="40"/>
      <c r="G422" s="38"/>
      <c r="H422" s="43"/>
      <c r="I422" s="43"/>
      <c r="J422" s="39"/>
      <c r="K422" s="38"/>
      <c r="L422" s="39"/>
      <c r="M422" s="39"/>
      <c r="N422" s="43"/>
      <c r="O422" s="38"/>
      <c r="P422" s="38"/>
      <c r="Q422" s="41" t="str">
        <f ca="1">IF(emp_db[[#This Row],[Exit Date]]&lt;&gt;"",(emp_db[[#This Row],[Exit Date]]-emp_db[[#This Row],[Column1]])/365,IF(emp_db[[#This Row],[ID]]&lt;&gt;"",(TODAY()-emp_db[[#This Row],[Column1]])/365,""))</f>
        <v/>
      </c>
      <c r="R422" s="42" t="str">
        <f ca="1">IF(emp_db[[#This Row],[Date of Birth]]&lt;&gt;"",(TODAY()-emp_db[[#This Row],[Date of Birth]])/365,"")</f>
        <v/>
      </c>
      <c r="S422" s="42">
        <f>YEAR(emp_db[[#This Row],[Column1]])</f>
        <v>1900</v>
      </c>
      <c r="T422" s="42">
        <f>MONTH(emp_db[[#This Row],[Column1]])</f>
        <v>1</v>
      </c>
      <c r="U422" s="42">
        <f>IFERROR(YEAR(emp_db[[#This Row],[Exit Date]]),"")</f>
        <v>1900</v>
      </c>
      <c r="V422" s="42">
        <f>IFERROR(MONTH(emp_db[[#This Row],[Exit Date]]),"")</f>
        <v>1</v>
      </c>
    </row>
    <row r="423" spans="2:22">
      <c r="B423" s="39"/>
      <c r="C423" s="39"/>
      <c r="D423" s="39"/>
      <c r="E423" s="39"/>
      <c r="F423" s="40"/>
      <c r="G423" s="38"/>
      <c r="H423" s="43"/>
      <c r="I423" s="43"/>
      <c r="J423" s="39"/>
      <c r="K423" s="38"/>
      <c r="L423" s="39"/>
      <c r="M423" s="39"/>
      <c r="N423" s="43"/>
      <c r="O423" s="38"/>
      <c r="P423" s="38"/>
      <c r="Q423" s="41" t="str">
        <f ca="1">IF(emp_db[[#This Row],[Exit Date]]&lt;&gt;"",(emp_db[[#This Row],[Exit Date]]-emp_db[[#This Row],[Column1]])/365,IF(emp_db[[#This Row],[ID]]&lt;&gt;"",(TODAY()-emp_db[[#This Row],[Column1]])/365,""))</f>
        <v/>
      </c>
      <c r="R423" s="42" t="str">
        <f ca="1">IF(emp_db[[#This Row],[Date of Birth]]&lt;&gt;"",(TODAY()-emp_db[[#This Row],[Date of Birth]])/365,"")</f>
        <v/>
      </c>
      <c r="S423" s="42">
        <f>YEAR(emp_db[[#This Row],[Column1]])</f>
        <v>1900</v>
      </c>
      <c r="T423" s="42">
        <f>MONTH(emp_db[[#This Row],[Column1]])</f>
        <v>1</v>
      </c>
      <c r="U423" s="42">
        <f>IFERROR(YEAR(emp_db[[#This Row],[Exit Date]]),"")</f>
        <v>1900</v>
      </c>
      <c r="V423" s="42">
        <f>IFERROR(MONTH(emp_db[[#This Row],[Exit Date]]),"")</f>
        <v>1</v>
      </c>
    </row>
    <row r="424" spans="2:22">
      <c r="B424" s="39"/>
      <c r="C424" s="39"/>
      <c r="D424" s="39"/>
      <c r="E424" s="39"/>
      <c r="F424" s="40"/>
      <c r="G424" s="38"/>
      <c r="H424" s="43"/>
      <c r="I424" s="43"/>
      <c r="J424" s="39"/>
      <c r="K424" s="38"/>
      <c r="L424" s="39"/>
      <c r="M424" s="39"/>
      <c r="N424" s="43"/>
      <c r="O424" s="38"/>
      <c r="P424" s="38"/>
      <c r="Q424" s="41" t="str">
        <f ca="1">IF(emp_db[[#This Row],[Exit Date]]&lt;&gt;"",(emp_db[[#This Row],[Exit Date]]-emp_db[[#This Row],[Column1]])/365,IF(emp_db[[#This Row],[ID]]&lt;&gt;"",(TODAY()-emp_db[[#This Row],[Column1]])/365,""))</f>
        <v/>
      </c>
      <c r="R424" s="42" t="str">
        <f ca="1">IF(emp_db[[#This Row],[Date of Birth]]&lt;&gt;"",(TODAY()-emp_db[[#This Row],[Date of Birth]])/365,"")</f>
        <v/>
      </c>
      <c r="S424" s="42">
        <f>YEAR(emp_db[[#This Row],[Column1]])</f>
        <v>1900</v>
      </c>
      <c r="T424" s="42">
        <f>MONTH(emp_db[[#This Row],[Column1]])</f>
        <v>1</v>
      </c>
      <c r="U424" s="42">
        <f>IFERROR(YEAR(emp_db[[#This Row],[Exit Date]]),"")</f>
        <v>1900</v>
      </c>
      <c r="V424" s="42">
        <f>IFERROR(MONTH(emp_db[[#This Row],[Exit Date]]),"")</f>
        <v>1</v>
      </c>
    </row>
    <row r="425" spans="2:22">
      <c r="B425" s="39"/>
      <c r="C425" s="39"/>
      <c r="D425" s="39"/>
      <c r="E425" s="39"/>
      <c r="F425" s="40"/>
      <c r="G425" s="38"/>
      <c r="H425" s="43"/>
      <c r="I425" s="43"/>
      <c r="J425" s="39"/>
      <c r="K425" s="38"/>
      <c r="L425" s="39"/>
      <c r="M425" s="39"/>
      <c r="N425" s="43"/>
      <c r="O425" s="38"/>
      <c r="P425" s="38"/>
      <c r="Q425" s="41" t="str">
        <f ca="1">IF(emp_db[[#This Row],[Exit Date]]&lt;&gt;"",(emp_db[[#This Row],[Exit Date]]-emp_db[[#This Row],[Column1]])/365,IF(emp_db[[#This Row],[ID]]&lt;&gt;"",(TODAY()-emp_db[[#This Row],[Column1]])/365,""))</f>
        <v/>
      </c>
      <c r="R425" s="42" t="str">
        <f ca="1">IF(emp_db[[#This Row],[Date of Birth]]&lt;&gt;"",(TODAY()-emp_db[[#This Row],[Date of Birth]])/365,"")</f>
        <v/>
      </c>
      <c r="S425" s="42">
        <f>YEAR(emp_db[[#This Row],[Column1]])</f>
        <v>1900</v>
      </c>
      <c r="T425" s="42">
        <f>MONTH(emp_db[[#This Row],[Column1]])</f>
        <v>1</v>
      </c>
      <c r="U425" s="42">
        <f>IFERROR(YEAR(emp_db[[#This Row],[Exit Date]]),"")</f>
        <v>1900</v>
      </c>
      <c r="V425" s="42">
        <f>IFERROR(MONTH(emp_db[[#This Row],[Exit Date]]),"")</f>
        <v>1</v>
      </c>
    </row>
    <row r="426" spans="2:22">
      <c r="B426" s="39"/>
      <c r="C426" s="39"/>
      <c r="D426" s="39"/>
      <c r="E426" s="39"/>
      <c r="F426" s="40"/>
      <c r="G426" s="38"/>
      <c r="H426" s="43"/>
      <c r="I426" s="43"/>
      <c r="J426" s="39"/>
      <c r="K426" s="38"/>
      <c r="L426" s="39"/>
      <c r="M426" s="39"/>
      <c r="N426" s="43"/>
      <c r="O426" s="38"/>
      <c r="P426" s="38"/>
      <c r="Q426" s="41" t="str">
        <f ca="1">IF(emp_db[[#This Row],[Exit Date]]&lt;&gt;"",(emp_db[[#This Row],[Exit Date]]-emp_db[[#This Row],[Column1]])/365,IF(emp_db[[#This Row],[ID]]&lt;&gt;"",(TODAY()-emp_db[[#This Row],[Column1]])/365,""))</f>
        <v/>
      </c>
      <c r="R426" s="42" t="str">
        <f ca="1">IF(emp_db[[#This Row],[Date of Birth]]&lt;&gt;"",(TODAY()-emp_db[[#This Row],[Date of Birth]])/365,"")</f>
        <v/>
      </c>
      <c r="S426" s="42">
        <f>YEAR(emp_db[[#This Row],[Column1]])</f>
        <v>1900</v>
      </c>
      <c r="T426" s="42">
        <f>MONTH(emp_db[[#This Row],[Column1]])</f>
        <v>1</v>
      </c>
      <c r="U426" s="42">
        <f>IFERROR(YEAR(emp_db[[#This Row],[Exit Date]]),"")</f>
        <v>1900</v>
      </c>
      <c r="V426" s="42">
        <f>IFERROR(MONTH(emp_db[[#This Row],[Exit Date]]),"")</f>
        <v>1</v>
      </c>
    </row>
    <row r="427" spans="2:22">
      <c r="B427" s="39"/>
      <c r="C427" s="39"/>
      <c r="D427" s="39"/>
      <c r="E427" s="39"/>
      <c r="F427" s="40"/>
      <c r="G427" s="38"/>
      <c r="H427" s="43"/>
      <c r="I427" s="43"/>
      <c r="J427" s="39"/>
      <c r="K427" s="38"/>
      <c r="L427" s="39"/>
      <c r="M427" s="39"/>
      <c r="N427" s="43"/>
      <c r="O427" s="38"/>
      <c r="P427" s="38"/>
      <c r="Q427" s="41" t="str">
        <f ca="1">IF(emp_db[[#This Row],[Exit Date]]&lt;&gt;"",(emp_db[[#This Row],[Exit Date]]-emp_db[[#This Row],[Column1]])/365,IF(emp_db[[#This Row],[ID]]&lt;&gt;"",(TODAY()-emp_db[[#This Row],[Column1]])/365,""))</f>
        <v/>
      </c>
      <c r="R427" s="42" t="str">
        <f ca="1">IF(emp_db[[#This Row],[Date of Birth]]&lt;&gt;"",(TODAY()-emp_db[[#This Row],[Date of Birth]])/365,"")</f>
        <v/>
      </c>
      <c r="S427" s="42">
        <f>YEAR(emp_db[[#This Row],[Column1]])</f>
        <v>1900</v>
      </c>
      <c r="T427" s="42">
        <f>MONTH(emp_db[[#This Row],[Column1]])</f>
        <v>1</v>
      </c>
      <c r="U427" s="42">
        <f>IFERROR(YEAR(emp_db[[#This Row],[Exit Date]]),"")</f>
        <v>1900</v>
      </c>
      <c r="V427" s="42">
        <f>IFERROR(MONTH(emp_db[[#This Row],[Exit Date]]),"")</f>
        <v>1</v>
      </c>
    </row>
    <row r="428" spans="2:22">
      <c r="B428" s="39"/>
      <c r="C428" s="39"/>
      <c r="D428" s="39"/>
      <c r="E428" s="39"/>
      <c r="F428" s="40"/>
      <c r="G428" s="38"/>
      <c r="H428" s="43"/>
      <c r="I428" s="43"/>
      <c r="J428" s="39"/>
      <c r="K428" s="38"/>
      <c r="L428" s="39"/>
      <c r="M428" s="39"/>
      <c r="N428" s="43"/>
      <c r="O428" s="38"/>
      <c r="P428" s="38"/>
      <c r="Q428" s="41" t="str">
        <f ca="1">IF(emp_db[[#This Row],[Exit Date]]&lt;&gt;"",(emp_db[[#This Row],[Exit Date]]-emp_db[[#This Row],[Column1]])/365,IF(emp_db[[#This Row],[ID]]&lt;&gt;"",(TODAY()-emp_db[[#This Row],[Column1]])/365,""))</f>
        <v/>
      </c>
      <c r="R428" s="42" t="str">
        <f ca="1">IF(emp_db[[#This Row],[Date of Birth]]&lt;&gt;"",(TODAY()-emp_db[[#This Row],[Date of Birth]])/365,"")</f>
        <v/>
      </c>
      <c r="S428" s="42">
        <f>YEAR(emp_db[[#This Row],[Column1]])</f>
        <v>1900</v>
      </c>
      <c r="T428" s="42">
        <f>MONTH(emp_db[[#This Row],[Column1]])</f>
        <v>1</v>
      </c>
      <c r="U428" s="42">
        <f>IFERROR(YEAR(emp_db[[#This Row],[Exit Date]]),"")</f>
        <v>1900</v>
      </c>
      <c r="V428" s="42">
        <f>IFERROR(MONTH(emp_db[[#This Row],[Exit Date]]),"")</f>
        <v>1</v>
      </c>
    </row>
    <row r="429" spans="2:22">
      <c r="B429" s="39"/>
      <c r="C429" s="39"/>
      <c r="D429" s="39"/>
      <c r="E429" s="39"/>
      <c r="F429" s="40"/>
      <c r="G429" s="38"/>
      <c r="H429" s="43"/>
      <c r="I429" s="43"/>
      <c r="J429" s="39"/>
      <c r="K429" s="38"/>
      <c r="L429" s="39"/>
      <c r="M429" s="39"/>
      <c r="N429" s="43"/>
      <c r="O429" s="38"/>
      <c r="P429" s="38"/>
      <c r="Q429" s="41" t="str">
        <f ca="1">IF(emp_db[[#This Row],[Exit Date]]&lt;&gt;"",(emp_db[[#This Row],[Exit Date]]-emp_db[[#This Row],[Column1]])/365,IF(emp_db[[#This Row],[ID]]&lt;&gt;"",(TODAY()-emp_db[[#This Row],[Column1]])/365,""))</f>
        <v/>
      </c>
      <c r="R429" s="42" t="str">
        <f ca="1">IF(emp_db[[#This Row],[Date of Birth]]&lt;&gt;"",(TODAY()-emp_db[[#This Row],[Date of Birth]])/365,"")</f>
        <v/>
      </c>
      <c r="S429" s="42">
        <f>YEAR(emp_db[[#This Row],[Column1]])</f>
        <v>1900</v>
      </c>
      <c r="T429" s="42">
        <f>MONTH(emp_db[[#This Row],[Column1]])</f>
        <v>1</v>
      </c>
      <c r="U429" s="42">
        <f>IFERROR(YEAR(emp_db[[#This Row],[Exit Date]]),"")</f>
        <v>1900</v>
      </c>
      <c r="V429" s="42">
        <f>IFERROR(MONTH(emp_db[[#This Row],[Exit Date]]),"")</f>
        <v>1</v>
      </c>
    </row>
    <row r="430" spans="2:22">
      <c r="B430" s="39"/>
      <c r="C430" s="39"/>
      <c r="D430" s="39"/>
      <c r="E430" s="39"/>
      <c r="F430" s="40"/>
      <c r="G430" s="38"/>
      <c r="H430" s="43"/>
      <c r="I430" s="43"/>
      <c r="J430" s="39"/>
      <c r="K430" s="38"/>
      <c r="L430" s="39"/>
      <c r="M430" s="39"/>
      <c r="N430" s="43"/>
      <c r="O430" s="38"/>
      <c r="P430" s="38"/>
      <c r="Q430" s="41" t="str">
        <f ca="1">IF(emp_db[[#This Row],[Exit Date]]&lt;&gt;"",(emp_db[[#This Row],[Exit Date]]-emp_db[[#This Row],[Column1]])/365,IF(emp_db[[#This Row],[ID]]&lt;&gt;"",(TODAY()-emp_db[[#This Row],[Column1]])/365,""))</f>
        <v/>
      </c>
      <c r="R430" s="42" t="str">
        <f ca="1">IF(emp_db[[#This Row],[Date of Birth]]&lt;&gt;"",(TODAY()-emp_db[[#This Row],[Date of Birth]])/365,"")</f>
        <v/>
      </c>
      <c r="S430" s="42">
        <f>YEAR(emp_db[[#This Row],[Column1]])</f>
        <v>1900</v>
      </c>
      <c r="T430" s="42">
        <f>MONTH(emp_db[[#This Row],[Column1]])</f>
        <v>1</v>
      </c>
      <c r="U430" s="42">
        <f>IFERROR(YEAR(emp_db[[#This Row],[Exit Date]]),"")</f>
        <v>1900</v>
      </c>
      <c r="V430" s="42">
        <f>IFERROR(MONTH(emp_db[[#This Row],[Exit Date]]),"")</f>
        <v>1</v>
      </c>
    </row>
    <row r="431" spans="2:22">
      <c r="B431" s="39"/>
      <c r="C431" s="39"/>
      <c r="D431" s="39"/>
      <c r="E431" s="39"/>
      <c r="F431" s="40"/>
      <c r="G431" s="38"/>
      <c r="H431" s="43"/>
      <c r="I431" s="43"/>
      <c r="J431" s="39"/>
      <c r="K431" s="38"/>
      <c r="L431" s="39"/>
      <c r="M431" s="39"/>
      <c r="N431" s="43"/>
      <c r="O431" s="38"/>
      <c r="P431" s="38"/>
      <c r="Q431" s="41" t="str">
        <f ca="1">IF(emp_db[[#This Row],[Exit Date]]&lt;&gt;"",(emp_db[[#This Row],[Exit Date]]-emp_db[[#This Row],[Column1]])/365,IF(emp_db[[#This Row],[ID]]&lt;&gt;"",(TODAY()-emp_db[[#This Row],[Column1]])/365,""))</f>
        <v/>
      </c>
      <c r="R431" s="42" t="str">
        <f ca="1">IF(emp_db[[#This Row],[Date of Birth]]&lt;&gt;"",(TODAY()-emp_db[[#This Row],[Date of Birth]])/365,"")</f>
        <v/>
      </c>
      <c r="S431" s="42">
        <f>YEAR(emp_db[[#This Row],[Column1]])</f>
        <v>1900</v>
      </c>
      <c r="T431" s="42">
        <f>MONTH(emp_db[[#This Row],[Column1]])</f>
        <v>1</v>
      </c>
      <c r="U431" s="42">
        <f>IFERROR(YEAR(emp_db[[#This Row],[Exit Date]]),"")</f>
        <v>1900</v>
      </c>
      <c r="V431" s="42">
        <f>IFERROR(MONTH(emp_db[[#This Row],[Exit Date]]),"")</f>
        <v>1</v>
      </c>
    </row>
    <row r="432" spans="2:22">
      <c r="B432" s="39"/>
      <c r="C432" s="39"/>
      <c r="D432" s="39"/>
      <c r="E432" s="39"/>
      <c r="F432" s="40"/>
      <c r="G432" s="38"/>
      <c r="H432" s="43"/>
      <c r="I432" s="43"/>
      <c r="J432" s="39"/>
      <c r="K432" s="38"/>
      <c r="L432" s="39"/>
      <c r="M432" s="39"/>
      <c r="N432" s="43"/>
      <c r="O432" s="38"/>
      <c r="P432" s="38"/>
      <c r="Q432" s="41" t="str">
        <f ca="1">IF(emp_db[[#This Row],[Exit Date]]&lt;&gt;"",(emp_db[[#This Row],[Exit Date]]-emp_db[[#This Row],[Column1]])/365,IF(emp_db[[#This Row],[ID]]&lt;&gt;"",(TODAY()-emp_db[[#This Row],[Column1]])/365,""))</f>
        <v/>
      </c>
      <c r="R432" s="42" t="str">
        <f ca="1">IF(emp_db[[#This Row],[Date of Birth]]&lt;&gt;"",(TODAY()-emp_db[[#This Row],[Date of Birth]])/365,"")</f>
        <v/>
      </c>
      <c r="S432" s="42">
        <f>YEAR(emp_db[[#This Row],[Column1]])</f>
        <v>1900</v>
      </c>
      <c r="T432" s="42">
        <f>MONTH(emp_db[[#This Row],[Column1]])</f>
        <v>1</v>
      </c>
      <c r="U432" s="42">
        <f>IFERROR(YEAR(emp_db[[#This Row],[Exit Date]]),"")</f>
        <v>1900</v>
      </c>
      <c r="V432" s="42">
        <f>IFERROR(MONTH(emp_db[[#This Row],[Exit Date]]),"")</f>
        <v>1</v>
      </c>
    </row>
    <row r="433" spans="2:22">
      <c r="B433" s="39"/>
      <c r="C433" s="39"/>
      <c r="D433" s="39"/>
      <c r="E433" s="39"/>
      <c r="F433" s="40"/>
      <c r="G433" s="38"/>
      <c r="H433" s="43"/>
      <c r="I433" s="43"/>
      <c r="J433" s="39"/>
      <c r="K433" s="38"/>
      <c r="L433" s="39"/>
      <c r="M433" s="39"/>
      <c r="N433" s="43"/>
      <c r="O433" s="38"/>
      <c r="P433" s="38"/>
      <c r="Q433" s="41" t="str">
        <f ca="1">IF(emp_db[[#This Row],[Exit Date]]&lt;&gt;"",(emp_db[[#This Row],[Exit Date]]-emp_db[[#This Row],[Column1]])/365,IF(emp_db[[#This Row],[ID]]&lt;&gt;"",(TODAY()-emp_db[[#This Row],[Column1]])/365,""))</f>
        <v/>
      </c>
      <c r="R433" s="42" t="str">
        <f ca="1">IF(emp_db[[#This Row],[Date of Birth]]&lt;&gt;"",(TODAY()-emp_db[[#This Row],[Date of Birth]])/365,"")</f>
        <v/>
      </c>
      <c r="S433" s="42">
        <f>YEAR(emp_db[[#This Row],[Column1]])</f>
        <v>1900</v>
      </c>
      <c r="T433" s="42">
        <f>MONTH(emp_db[[#This Row],[Column1]])</f>
        <v>1</v>
      </c>
      <c r="U433" s="42">
        <f>IFERROR(YEAR(emp_db[[#This Row],[Exit Date]]),"")</f>
        <v>1900</v>
      </c>
      <c r="V433" s="42">
        <f>IFERROR(MONTH(emp_db[[#This Row],[Exit Date]]),"")</f>
        <v>1</v>
      </c>
    </row>
    <row r="434" spans="2:22">
      <c r="B434" s="39"/>
      <c r="C434" s="39"/>
      <c r="D434" s="39"/>
      <c r="E434" s="39"/>
      <c r="F434" s="40"/>
      <c r="G434" s="38"/>
      <c r="H434" s="43"/>
      <c r="I434" s="43"/>
      <c r="J434" s="39"/>
      <c r="K434" s="38"/>
      <c r="L434" s="39"/>
      <c r="M434" s="39"/>
      <c r="N434" s="43"/>
      <c r="O434" s="38"/>
      <c r="P434" s="38"/>
      <c r="Q434" s="41" t="str">
        <f ca="1">IF(emp_db[[#This Row],[Exit Date]]&lt;&gt;"",(emp_db[[#This Row],[Exit Date]]-emp_db[[#This Row],[Column1]])/365,IF(emp_db[[#This Row],[ID]]&lt;&gt;"",(TODAY()-emp_db[[#This Row],[Column1]])/365,""))</f>
        <v/>
      </c>
      <c r="R434" s="42" t="str">
        <f ca="1">IF(emp_db[[#This Row],[Date of Birth]]&lt;&gt;"",(TODAY()-emp_db[[#This Row],[Date of Birth]])/365,"")</f>
        <v/>
      </c>
      <c r="S434" s="42">
        <f>YEAR(emp_db[[#This Row],[Column1]])</f>
        <v>1900</v>
      </c>
      <c r="T434" s="42">
        <f>MONTH(emp_db[[#This Row],[Column1]])</f>
        <v>1</v>
      </c>
      <c r="U434" s="42">
        <f>IFERROR(YEAR(emp_db[[#This Row],[Exit Date]]),"")</f>
        <v>1900</v>
      </c>
      <c r="V434" s="42">
        <f>IFERROR(MONTH(emp_db[[#This Row],[Exit Date]]),"")</f>
        <v>1</v>
      </c>
    </row>
    <row r="435" spans="2:22">
      <c r="B435" s="39"/>
      <c r="C435" s="39"/>
      <c r="D435" s="39"/>
      <c r="E435" s="39"/>
      <c r="F435" s="40"/>
      <c r="G435" s="38"/>
      <c r="H435" s="43"/>
      <c r="I435" s="43"/>
      <c r="J435" s="39"/>
      <c r="K435" s="38"/>
      <c r="L435" s="39"/>
      <c r="M435" s="39"/>
      <c r="N435" s="43"/>
      <c r="O435" s="38"/>
      <c r="P435" s="38"/>
      <c r="Q435" s="41" t="str">
        <f ca="1">IF(emp_db[[#This Row],[Exit Date]]&lt;&gt;"",(emp_db[[#This Row],[Exit Date]]-emp_db[[#This Row],[Column1]])/365,IF(emp_db[[#This Row],[ID]]&lt;&gt;"",(TODAY()-emp_db[[#This Row],[Column1]])/365,""))</f>
        <v/>
      </c>
      <c r="R435" s="42" t="str">
        <f ca="1">IF(emp_db[[#This Row],[Date of Birth]]&lt;&gt;"",(TODAY()-emp_db[[#This Row],[Date of Birth]])/365,"")</f>
        <v/>
      </c>
      <c r="S435" s="42">
        <f>YEAR(emp_db[[#This Row],[Column1]])</f>
        <v>1900</v>
      </c>
      <c r="T435" s="42">
        <f>MONTH(emp_db[[#This Row],[Column1]])</f>
        <v>1</v>
      </c>
      <c r="U435" s="42">
        <f>IFERROR(YEAR(emp_db[[#This Row],[Exit Date]]),"")</f>
        <v>1900</v>
      </c>
      <c r="V435" s="42">
        <f>IFERROR(MONTH(emp_db[[#This Row],[Exit Date]]),"")</f>
        <v>1</v>
      </c>
    </row>
    <row r="436" spans="2:22">
      <c r="B436" s="39"/>
      <c r="C436" s="39"/>
      <c r="D436" s="39"/>
      <c r="E436" s="39"/>
      <c r="F436" s="40"/>
      <c r="G436" s="38"/>
      <c r="H436" s="43"/>
      <c r="I436" s="43"/>
      <c r="J436" s="39"/>
      <c r="K436" s="38"/>
      <c r="L436" s="39"/>
      <c r="M436" s="39"/>
      <c r="N436" s="43"/>
      <c r="O436" s="38"/>
      <c r="P436" s="38"/>
      <c r="Q436" s="41" t="str">
        <f ca="1">IF(emp_db[[#This Row],[Exit Date]]&lt;&gt;"",(emp_db[[#This Row],[Exit Date]]-emp_db[[#This Row],[Column1]])/365,IF(emp_db[[#This Row],[ID]]&lt;&gt;"",(TODAY()-emp_db[[#This Row],[Column1]])/365,""))</f>
        <v/>
      </c>
      <c r="R436" s="42" t="str">
        <f ca="1">IF(emp_db[[#This Row],[Date of Birth]]&lt;&gt;"",(TODAY()-emp_db[[#This Row],[Date of Birth]])/365,"")</f>
        <v/>
      </c>
      <c r="S436" s="42">
        <f>YEAR(emp_db[[#This Row],[Column1]])</f>
        <v>1900</v>
      </c>
      <c r="T436" s="42">
        <f>MONTH(emp_db[[#This Row],[Column1]])</f>
        <v>1</v>
      </c>
      <c r="U436" s="42">
        <f>IFERROR(YEAR(emp_db[[#This Row],[Exit Date]]),"")</f>
        <v>1900</v>
      </c>
      <c r="V436" s="42">
        <f>IFERROR(MONTH(emp_db[[#This Row],[Exit Date]]),"")</f>
        <v>1</v>
      </c>
    </row>
    <row r="437" spans="2:22">
      <c r="B437" s="39"/>
      <c r="C437" s="39"/>
      <c r="D437" s="39"/>
      <c r="E437" s="39"/>
      <c r="F437" s="40"/>
      <c r="G437" s="38"/>
      <c r="H437" s="43"/>
      <c r="I437" s="43"/>
      <c r="J437" s="39"/>
      <c r="K437" s="38"/>
      <c r="L437" s="39"/>
      <c r="M437" s="39"/>
      <c r="N437" s="43"/>
      <c r="O437" s="38"/>
      <c r="P437" s="38"/>
      <c r="Q437" s="41" t="str">
        <f ca="1">IF(emp_db[[#This Row],[Exit Date]]&lt;&gt;"",(emp_db[[#This Row],[Exit Date]]-emp_db[[#This Row],[Column1]])/365,IF(emp_db[[#This Row],[ID]]&lt;&gt;"",(TODAY()-emp_db[[#This Row],[Column1]])/365,""))</f>
        <v/>
      </c>
      <c r="R437" s="42" t="str">
        <f ca="1">IF(emp_db[[#This Row],[Date of Birth]]&lt;&gt;"",(TODAY()-emp_db[[#This Row],[Date of Birth]])/365,"")</f>
        <v/>
      </c>
      <c r="S437" s="42">
        <f>YEAR(emp_db[[#This Row],[Column1]])</f>
        <v>1900</v>
      </c>
      <c r="T437" s="42">
        <f>MONTH(emp_db[[#This Row],[Column1]])</f>
        <v>1</v>
      </c>
      <c r="U437" s="42">
        <f>IFERROR(YEAR(emp_db[[#This Row],[Exit Date]]),"")</f>
        <v>1900</v>
      </c>
      <c r="V437" s="42">
        <f>IFERROR(MONTH(emp_db[[#This Row],[Exit Date]]),"")</f>
        <v>1</v>
      </c>
    </row>
    <row r="438" spans="2:22">
      <c r="B438" s="39"/>
      <c r="C438" s="39"/>
      <c r="D438" s="39"/>
      <c r="E438" s="39"/>
      <c r="F438" s="40"/>
      <c r="G438" s="38"/>
      <c r="H438" s="43"/>
      <c r="I438" s="43"/>
      <c r="J438" s="39"/>
      <c r="K438" s="38"/>
      <c r="L438" s="39"/>
      <c r="M438" s="39"/>
      <c r="N438" s="43"/>
      <c r="O438" s="38"/>
      <c r="P438" s="38"/>
      <c r="Q438" s="41" t="str">
        <f ca="1">IF(emp_db[[#This Row],[Exit Date]]&lt;&gt;"",(emp_db[[#This Row],[Exit Date]]-emp_db[[#This Row],[Column1]])/365,IF(emp_db[[#This Row],[ID]]&lt;&gt;"",(TODAY()-emp_db[[#This Row],[Column1]])/365,""))</f>
        <v/>
      </c>
      <c r="R438" s="42" t="str">
        <f ca="1">IF(emp_db[[#This Row],[Date of Birth]]&lt;&gt;"",(TODAY()-emp_db[[#This Row],[Date of Birth]])/365,"")</f>
        <v/>
      </c>
      <c r="S438" s="42">
        <f>YEAR(emp_db[[#This Row],[Column1]])</f>
        <v>1900</v>
      </c>
      <c r="T438" s="42">
        <f>MONTH(emp_db[[#This Row],[Column1]])</f>
        <v>1</v>
      </c>
      <c r="U438" s="42">
        <f>IFERROR(YEAR(emp_db[[#This Row],[Exit Date]]),"")</f>
        <v>1900</v>
      </c>
      <c r="V438" s="42">
        <f>IFERROR(MONTH(emp_db[[#This Row],[Exit Date]]),"")</f>
        <v>1</v>
      </c>
    </row>
    <row r="439" spans="2:22">
      <c r="B439" s="39"/>
      <c r="C439" s="39"/>
      <c r="D439" s="39"/>
      <c r="E439" s="39"/>
      <c r="F439" s="40"/>
      <c r="G439" s="38"/>
      <c r="H439" s="43"/>
      <c r="I439" s="43"/>
      <c r="J439" s="39"/>
      <c r="K439" s="38"/>
      <c r="L439" s="39"/>
      <c r="M439" s="39"/>
      <c r="N439" s="43"/>
      <c r="O439" s="38"/>
      <c r="P439" s="38"/>
      <c r="Q439" s="41" t="str">
        <f ca="1">IF(emp_db[[#This Row],[Exit Date]]&lt;&gt;"",(emp_db[[#This Row],[Exit Date]]-emp_db[[#This Row],[Column1]])/365,IF(emp_db[[#This Row],[ID]]&lt;&gt;"",(TODAY()-emp_db[[#This Row],[Column1]])/365,""))</f>
        <v/>
      </c>
      <c r="R439" s="42" t="str">
        <f ca="1">IF(emp_db[[#This Row],[Date of Birth]]&lt;&gt;"",(TODAY()-emp_db[[#This Row],[Date of Birth]])/365,"")</f>
        <v/>
      </c>
      <c r="S439" s="42">
        <f>YEAR(emp_db[[#This Row],[Column1]])</f>
        <v>1900</v>
      </c>
      <c r="T439" s="42">
        <f>MONTH(emp_db[[#This Row],[Column1]])</f>
        <v>1</v>
      </c>
      <c r="U439" s="42">
        <f>IFERROR(YEAR(emp_db[[#This Row],[Exit Date]]),"")</f>
        <v>1900</v>
      </c>
      <c r="V439" s="42">
        <f>IFERROR(MONTH(emp_db[[#This Row],[Exit Date]]),"")</f>
        <v>1</v>
      </c>
    </row>
    <row r="440" spans="2:22">
      <c r="B440" s="39"/>
      <c r="C440" s="39"/>
      <c r="D440" s="39"/>
      <c r="E440" s="39"/>
      <c r="F440" s="40"/>
      <c r="G440" s="38"/>
      <c r="H440" s="43"/>
      <c r="I440" s="43"/>
      <c r="J440" s="39"/>
      <c r="K440" s="38"/>
      <c r="L440" s="39"/>
      <c r="M440" s="39"/>
      <c r="N440" s="43"/>
      <c r="O440" s="38"/>
      <c r="P440" s="38"/>
      <c r="Q440" s="41" t="str">
        <f ca="1">IF(emp_db[[#This Row],[Exit Date]]&lt;&gt;"",(emp_db[[#This Row],[Exit Date]]-emp_db[[#This Row],[Column1]])/365,IF(emp_db[[#This Row],[ID]]&lt;&gt;"",(TODAY()-emp_db[[#This Row],[Column1]])/365,""))</f>
        <v/>
      </c>
      <c r="R440" s="42" t="str">
        <f ca="1">IF(emp_db[[#This Row],[Date of Birth]]&lt;&gt;"",(TODAY()-emp_db[[#This Row],[Date of Birth]])/365,"")</f>
        <v/>
      </c>
      <c r="S440" s="42">
        <f>YEAR(emp_db[[#This Row],[Column1]])</f>
        <v>1900</v>
      </c>
      <c r="T440" s="42">
        <f>MONTH(emp_db[[#This Row],[Column1]])</f>
        <v>1</v>
      </c>
      <c r="U440" s="42">
        <f>IFERROR(YEAR(emp_db[[#This Row],[Exit Date]]),"")</f>
        <v>1900</v>
      </c>
      <c r="V440" s="42">
        <f>IFERROR(MONTH(emp_db[[#This Row],[Exit Date]]),"")</f>
        <v>1</v>
      </c>
    </row>
    <row r="441" spans="2:22">
      <c r="B441" s="39"/>
      <c r="C441" s="39"/>
      <c r="D441" s="39"/>
      <c r="E441" s="39"/>
      <c r="F441" s="40"/>
      <c r="G441" s="38"/>
      <c r="H441" s="43"/>
      <c r="I441" s="43"/>
      <c r="J441" s="39"/>
      <c r="K441" s="38"/>
      <c r="L441" s="39"/>
      <c r="M441" s="39"/>
      <c r="N441" s="43"/>
      <c r="O441" s="38"/>
      <c r="P441" s="38"/>
      <c r="Q441" s="41" t="str">
        <f ca="1">IF(emp_db[[#This Row],[Exit Date]]&lt;&gt;"",(emp_db[[#This Row],[Exit Date]]-emp_db[[#This Row],[Column1]])/365,IF(emp_db[[#This Row],[ID]]&lt;&gt;"",(TODAY()-emp_db[[#This Row],[Column1]])/365,""))</f>
        <v/>
      </c>
      <c r="R441" s="42" t="str">
        <f ca="1">IF(emp_db[[#This Row],[Date of Birth]]&lt;&gt;"",(TODAY()-emp_db[[#This Row],[Date of Birth]])/365,"")</f>
        <v/>
      </c>
      <c r="S441" s="42">
        <f>YEAR(emp_db[[#This Row],[Column1]])</f>
        <v>1900</v>
      </c>
      <c r="T441" s="42">
        <f>MONTH(emp_db[[#This Row],[Column1]])</f>
        <v>1</v>
      </c>
      <c r="U441" s="42">
        <f>IFERROR(YEAR(emp_db[[#This Row],[Exit Date]]),"")</f>
        <v>1900</v>
      </c>
      <c r="V441" s="42">
        <f>IFERROR(MONTH(emp_db[[#This Row],[Exit Date]]),"")</f>
        <v>1</v>
      </c>
    </row>
    <row r="442" spans="2:22">
      <c r="B442" s="39"/>
      <c r="C442" s="39"/>
      <c r="D442" s="39"/>
      <c r="E442" s="39"/>
      <c r="F442" s="40"/>
      <c r="G442" s="38"/>
      <c r="H442" s="43"/>
      <c r="I442" s="43"/>
      <c r="J442" s="39"/>
      <c r="K442" s="38"/>
      <c r="L442" s="39"/>
      <c r="M442" s="39"/>
      <c r="N442" s="43"/>
      <c r="O442" s="38"/>
      <c r="P442" s="38"/>
      <c r="Q442" s="41" t="str">
        <f ca="1">IF(emp_db[[#This Row],[Exit Date]]&lt;&gt;"",(emp_db[[#This Row],[Exit Date]]-emp_db[[#This Row],[Column1]])/365,IF(emp_db[[#This Row],[ID]]&lt;&gt;"",(TODAY()-emp_db[[#This Row],[Column1]])/365,""))</f>
        <v/>
      </c>
      <c r="R442" s="42" t="str">
        <f ca="1">IF(emp_db[[#This Row],[Date of Birth]]&lt;&gt;"",(TODAY()-emp_db[[#This Row],[Date of Birth]])/365,"")</f>
        <v/>
      </c>
      <c r="S442" s="42">
        <f>YEAR(emp_db[[#This Row],[Column1]])</f>
        <v>1900</v>
      </c>
      <c r="T442" s="42">
        <f>MONTH(emp_db[[#This Row],[Column1]])</f>
        <v>1</v>
      </c>
      <c r="U442" s="42">
        <f>IFERROR(YEAR(emp_db[[#This Row],[Exit Date]]),"")</f>
        <v>1900</v>
      </c>
      <c r="V442" s="42">
        <f>IFERROR(MONTH(emp_db[[#This Row],[Exit Date]]),"")</f>
        <v>1</v>
      </c>
    </row>
    <row r="443" spans="2:22">
      <c r="B443" s="39"/>
      <c r="C443" s="39"/>
      <c r="D443" s="39"/>
      <c r="E443" s="39"/>
      <c r="F443" s="40"/>
      <c r="G443" s="38"/>
      <c r="H443" s="43"/>
      <c r="I443" s="43"/>
      <c r="J443" s="39"/>
      <c r="K443" s="38"/>
      <c r="L443" s="39"/>
      <c r="M443" s="39"/>
      <c r="N443" s="43"/>
      <c r="O443" s="38"/>
      <c r="P443" s="38"/>
      <c r="Q443" s="41" t="str">
        <f ca="1">IF(emp_db[[#This Row],[Exit Date]]&lt;&gt;"",(emp_db[[#This Row],[Exit Date]]-emp_db[[#This Row],[Column1]])/365,IF(emp_db[[#This Row],[ID]]&lt;&gt;"",(TODAY()-emp_db[[#This Row],[Column1]])/365,""))</f>
        <v/>
      </c>
      <c r="R443" s="42" t="str">
        <f ca="1">IF(emp_db[[#This Row],[Date of Birth]]&lt;&gt;"",(TODAY()-emp_db[[#This Row],[Date of Birth]])/365,"")</f>
        <v/>
      </c>
      <c r="S443" s="42">
        <f>YEAR(emp_db[[#This Row],[Column1]])</f>
        <v>1900</v>
      </c>
      <c r="T443" s="42">
        <f>MONTH(emp_db[[#This Row],[Column1]])</f>
        <v>1</v>
      </c>
      <c r="U443" s="42">
        <f>IFERROR(YEAR(emp_db[[#This Row],[Exit Date]]),"")</f>
        <v>1900</v>
      </c>
      <c r="V443" s="42">
        <f>IFERROR(MONTH(emp_db[[#This Row],[Exit Date]]),"")</f>
        <v>1</v>
      </c>
    </row>
    <row r="444" spans="2:22">
      <c r="B444" s="39"/>
      <c r="C444" s="39"/>
      <c r="D444" s="39"/>
      <c r="E444" s="39"/>
      <c r="F444" s="40"/>
      <c r="G444" s="38"/>
      <c r="H444" s="43"/>
      <c r="I444" s="43"/>
      <c r="J444" s="39"/>
      <c r="K444" s="38"/>
      <c r="L444" s="39"/>
      <c r="M444" s="39"/>
      <c r="N444" s="43"/>
      <c r="O444" s="38"/>
      <c r="P444" s="38"/>
      <c r="Q444" s="41" t="str">
        <f ca="1">IF(emp_db[[#This Row],[Exit Date]]&lt;&gt;"",(emp_db[[#This Row],[Exit Date]]-emp_db[[#This Row],[Column1]])/365,IF(emp_db[[#This Row],[ID]]&lt;&gt;"",(TODAY()-emp_db[[#This Row],[Column1]])/365,""))</f>
        <v/>
      </c>
      <c r="R444" s="42" t="str">
        <f ca="1">IF(emp_db[[#This Row],[Date of Birth]]&lt;&gt;"",(TODAY()-emp_db[[#This Row],[Date of Birth]])/365,"")</f>
        <v/>
      </c>
      <c r="S444" s="42">
        <f>YEAR(emp_db[[#This Row],[Column1]])</f>
        <v>1900</v>
      </c>
      <c r="T444" s="42">
        <f>MONTH(emp_db[[#This Row],[Column1]])</f>
        <v>1</v>
      </c>
      <c r="U444" s="42">
        <f>IFERROR(YEAR(emp_db[[#This Row],[Exit Date]]),"")</f>
        <v>1900</v>
      </c>
      <c r="V444" s="42">
        <f>IFERROR(MONTH(emp_db[[#This Row],[Exit Date]]),"")</f>
        <v>1</v>
      </c>
    </row>
    <row r="445" spans="2:22">
      <c r="B445" s="39"/>
      <c r="C445" s="39"/>
      <c r="D445" s="39"/>
      <c r="E445" s="39"/>
      <c r="F445" s="40"/>
      <c r="G445" s="38"/>
      <c r="H445" s="43"/>
      <c r="I445" s="43"/>
      <c r="J445" s="39"/>
      <c r="K445" s="38"/>
      <c r="L445" s="39"/>
      <c r="M445" s="39"/>
      <c r="N445" s="43"/>
      <c r="O445" s="38"/>
      <c r="P445" s="38"/>
      <c r="Q445" s="41" t="str">
        <f ca="1">IF(emp_db[[#This Row],[Exit Date]]&lt;&gt;"",(emp_db[[#This Row],[Exit Date]]-emp_db[[#This Row],[Column1]])/365,IF(emp_db[[#This Row],[ID]]&lt;&gt;"",(TODAY()-emp_db[[#This Row],[Column1]])/365,""))</f>
        <v/>
      </c>
      <c r="R445" s="42" t="str">
        <f ca="1">IF(emp_db[[#This Row],[Date of Birth]]&lt;&gt;"",(TODAY()-emp_db[[#This Row],[Date of Birth]])/365,"")</f>
        <v/>
      </c>
      <c r="S445" s="42">
        <f>YEAR(emp_db[[#This Row],[Column1]])</f>
        <v>1900</v>
      </c>
      <c r="T445" s="42">
        <f>MONTH(emp_db[[#This Row],[Column1]])</f>
        <v>1</v>
      </c>
      <c r="U445" s="42">
        <f>IFERROR(YEAR(emp_db[[#This Row],[Exit Date]]),"")</f>
        <v>1900</v>
      </c>
      <c r="V445" s="42">
        <f>IFERROR(MONTH(emp_db[[#This Row],[Exit Date]]),"")</f>
        <v>1</v>
      </c>
    </row>
    <row r="446" spans="2:22">
      <c r="B446" s="39"/>
      <c r="C446" s="39"/>
      <c r="D446" s="39"/>
      <c r="E446" s="39"/>
      <c r="F446" s="40"/>
      <c r="G446" s="38"/>
      <c r="H446" s="43"/>
      <c r="I446" s="43"/>
      <c r="J446" s="39"/>
      <c r="K446" s="38"/>
      <c r="L446" s="39"/>
      <c r="M446" s="39"/>
      <c r="N446" s="43"/>
      <c r="O446" s="38"/>
      <c r="P446" s="38"/>
      <c r="Q446" s="41" t="str">
        <f ca="1">IF(emp_db[[#This Row],[Exit Date]]&lt;&gt;"",(emp_db[[#This Row],[Exit Date]]-emp_db[[#This Row],[Column1]])/365,IF(emp_db[[#This Row],[ID]]&lt;&gt;"",(TODAY()-emp_db[[#This Row],[Column1]])/365,""))</f>
        <v/>
      </c>
      <c r="R446" s="42" t="str">
        <f ca="1">IF(emp_db[[#This Row],[Date of Birth]]&lt;&gt;"",(TODAY()-emp_db[[#This Row],[Date of Birth]])/365,"")</f>
        <v/>
      </c>
      <c r="S446" s="42">
        <f>YEAR(emp_db[[#This Row],[Column1]])</f>
        <v>1900</v>
      </c>
      <c r="T446" s="42">
        <f>MONTH(emp_db[[#This Row],[Column1]])</f>
        <v>1</v>
      </c>
      <c r="U446" s="42">
        <f>IFERROR(YEAR(emp_db[[#This Row],[Exit Date]]),"")</f>
        <v>1900</v>
      </c>
      <c r="V446" s="42">
        <f>IFERROR(MONTH(emp_db[[#This Row],[Exit Date]]),"")</f>
        <v>1</v>
      </c>
    </row>
    <row r="447" spans="2:22">
      <c r="B447" s="39"/>
      <c r="C447" s="39"/>
      <c r="D447" s="39"/>
      <c r="E447" s="39"/>
      <c r="F447" s="40"/>
      <c r="G447" s="38"/>
      <c r="H447" s="43"/>
      <c r="I447" s="43"/>
      <c r="J447" s="39"/>
      <c r="K447" s="38"/>
      <c r="L447" s="39"/>
      <c r="M447" s="39"/>
      <c r="N447" s="43"/>
      <c r="O447" s="38"/>
      <c r="P447" s="38"/>
      <c r="Q447" s="41" t="str">
        <f ca="1">IF(emp_db[[#This Row],[Exit Date]]&lt;&gt;"",(emp_db[[#This Row],[Exit Date]]-emp_db[[#This Row],[Column1]])/365,IF(emp_db[[#This Row],[ID]]&lt;&gt;"",(TODAY()-emp_db[[#This Row],[Column1]])/365,""))</f>
        <v/>
      </c>
      <c r="R447" s="42" t="str">
        <f ca="1">IF(emp_db[[#This Row],[Date of Birth]]&lt;&gt;"",(TODAY()-emp_db[[#This Row],[Date of Birth]])/365,"")</f>
        <v/>
      </c>
      <c r="S447" s="42">
        <f>YEAR(emp_db[[#This Row],[Column1]])</f>
        <v>1900</v>
      </c>
      <c r="T447" s="42">
        <f>MONTH(emp_db[[#This Row],[Column1]])</f>
        <v>1</v>
      </c>
      <c r="U447" s="42">
        <f>IFERROR(YEAR(emp_db[[#This Row],[Exit Date]]),"")</f>
        <v>1900</v>
      </c>
      <c r="V447" s="42">
        <f>IFERROR(MONTH(emp_db[[#This Row],[Exit Date]]),"")</f>
        <v>1</v>
      </c>
    </row>
    <row r="448" spans="2:22">
      <c r="B448" s="39"/>
      <c r="C448" s="39"/>
      <c r="D448" s="39"/>
      <c r="E448" s="39"/>
      <c r="F448" s="40"/>
      <c r="G448" s="38"/>
      <c r="H448" s="43"/>
      <c r="I448" s="43"/>
      <c r="J448" s="39"/>
      <c r="K448" s="38"/>
      <c r="L448" s="39"/>
      <c r="M448" s="39"/>
      <c r="N448" s="43"/>
      <c r="O448" s="38"/>
      <c r="P448" s="38"/>
      <c r="Q448" s="41" t="str">
        <f ca="1">IF(emp_db[[#This Row],[Exit Date]]&lt;&gt;"",(emp_db[[#This Row],[Exit Date]]-emp_db[[#This Row],[Column1]])/365,IF(emp_db[[#This Row],[ID]]&lt;&gt;"",(TODAY()-emp_db[[#This Row],[Column1]])/365,""))</f>
        <v/>
      </c>
      <c r="R448" s="42" t="str">
        <f ca="1">IF(emp_db[[#This Row],[Date of Birth]]&lt;&gt;"",(TODAY()-emp_db[[#This Row],[Date of Birth]])/365,"")</f>
        <v/>
      </c>
      <c r="S448" s="42">
        <f>YEAR(emp_db[[#This Row],[Column1]])</f>
        <v>1900</v>
      </c>
      <c r="T448" s="42">
        <f>MONTH(emp_db[[#This Row],[Column1]])</f>
        <v>1</v>
      </c>
      <c r="U448" s="42">
        <f>IFERROR(YEAR(emp_db[[#This Row],[Exit Date]]),"")</f>
        <v>1900</v>
      </c>
      <c r="V448" s="42">
        <f>IFERROR(MONTH(emp_db[[#This Row],[Exit Date]]),"")</f>
        <v>1</v>
      </c>
    </row>
    <row r="449" spans="2:22">
      <c r="B449" s="39"/>
      <c r="C449" s="39"/>
      <c r="D449" s="39"/>
      <c r="E449" s="39"/>
      <c r="F449" s="40"/>
      <c r="G449" s="38"/>
      <c r="H449" s="43"/>
      <c r="I449" s="43"/>
      <c r="J449" s="39"/>
      <c r="K449" s="38"/>
      <c r="L449" s="39"/>
      <c r="M449" s="39"/>
      <c r="N449" s="43"/>
      <c r="O449" s="38"/>
      <c r="P449" s="38"/>
      <c r="Q449" s="41" t="str">
        <f ca="1">IF(emp_db[[#This Row],[Exit Date]]&lt;&gt;"",(emp_db[[#This Row],[Exit Date]]-emp_db[[#This Row],[Column1]])/365,IF(emp_db[[#This Row],[ID]]&lt;&gt;"",(TODAY()-emp_db[[#This Row],[Column1]])/365,""))</f>
        <v/>
      </c>
      <c r="R449" s="42" t="str">
        <f ca="1">IF(emp_db[[#This Row],[Date of Birth]]&lt;&gt;"",(TODAY()-emp_db[[#This Row],[Date of Birth]])/365,"")</f>
        <v/>
      </c>
      <c r="S449" s="42">
        <f>YEAR(emp_db[[#This Row],[Column1]])</f>
        <v>1900</v>
      </c>
      <c r="T449" s="42">
        <f>MONTH(emp_db[[#This Row],[Column1]])</f>
        <v>1</v>
      </c>
      <c r="U449" s="42">
        <f>IFERROR(YEAR(emp_db[[#This Row],[Exit Date]]),"")</f>
        <v>1900</v>
      </c>
      <c r="V449" s="42">
        <f>IFERROR(MONTH(emp_db[[#This Row],[Exit Date]]),"")</f>
        <v>1</v>
      </c>
    </row>
    <row r="450" spans="2:22">
      <c r="B450" s="39"/>
      <c r="C450" s="39"/>
      <c r="D450" s="39"/>
      <c r="E450" s="39"/>
      <c r="F450" s="40"/>
      <c r="G450" s="38"/>
      <c r="H450" s="43"/>
      <c r="I450" s="43"/>
      <c r="J450" s="39"/>
      <c r="K450" s="38"/>
      <c r="L450" s="39"/>
      <c r="M450" s="39"/>
      <c r="N450" s="43"/>
      <c r="O450" s="38"/>
      <c r="P450" s="38"/>
      <c r="Q450" s="41" t="str">
        <f ca="1">IF(emp_db[[#This Row],[Exit Date]]&lt;&gt;"",(emp_db[[#This Row],[Exit Date]]-emp_db[[#This Row],[Column1]])/365,IF(emp_db[[#This Row],[ID]]&lt;&gt;"",(TODAY()-emp_db[[#This Row],[Column1]])/365,""))</f>
        <v/>
      </c>
      <c r="R450" s="42" t="str">
        <f ca="1">IF(emp_db[[#This Row],[Date of Birth]]&lt;&gt;"",(TODAY()-emp_db[[#This Row],[Date of Birth]])/365,"")</f>
        <v/>
      </c>
      <c r="S450" s="42">
        <f>YEAR(emp_db[[#This Row],[Column1]])</f>
        <v>1900</v>
      </c>
      <c r="T450" s="42">
        <f>MONTH(emp_db[[#This Row],[Column1]])</f>
        <v>1</v>
      </c>
      <c r="U450" s="42">
        <f>IFERROR(YEAR(emp_db[[#This Row],[Exit Date]]),"")</f>
        <v>1900</v>
      </c>
      <c r="V450" s="42">
        <f>IFERROR(MONTH(emp_db[[#This Row],[Exit Date]]),"")</f>
        <v>1</v>
      </c>
    </row>
    <row r="451" spans="2:22">
      <c r="B451" s="39"/>
      <c r="C451" s="39"/>
      <c r="D451" s="39"/>
      <c r="E451" s="39"/>
      <c r="F451" s="40"/>
      <c r="G451" s="38"/>
      <c r="H451" s="43"/>
      <c r="I451" s="43"/>
      <c r="J451" s="39"/>
      <c r="K451" s="38"/>
      <c r="L451" s="39"/>
      <c r="M451" s="39"/>
      <c r="N451" s="43"/>
      <c r="O451" s="38"/>
      <c r="P451" s="38"/>
      <c r="Q451" s="41" t="str">
        <f ca="1">IF(emp_db[[#This Row],[Exit Date]]&lt;&gt;"",(emp_db[[#This Row],[Exit Date]]-emp_db[[#This Row],[Column1]])/365,IF(emp_db[[#This Row],[ID]]&lt;&gt;"",(TODAY()-emp_db[[#This Row],[Column1]])/365,""))</f>
        <v/>
      </c>
      <c r="R451" s="42" t="str">
        <f ca="1">IF(emp_db[[#This Row],[Date of Birth]]&lt;&gt;"",(TODAY()-emp_db[[#This Row],[Date of Birth]])/365,"")</f>
        <v/>
      </c>
      <c r="S451" s="42">
        <f>YEAR(emp_db[[#This Row],[Column1]])</f>
        <v>1900</v>
      </c>
      <c r="T451" s="42">
        <f>MONTH(emp_db[[#This Row],[Column1]])</f>
        <v>1</v>
      </c>
      <c r="U451" s="42">
        <f>IFERROR(YEAR(emp_db[[#This Row],[Exit Date]]),"")</f>
        <v>1900</v>
      </c>
      <c r="V451" s="42">
        <f>IFERROR(MONTH(emp_db[[#This Row],[Exit Date]]),"")</f>
        <v>1</v>
      </c>
    </row>
    <row r="452" spans="2:22">
      <c r="B452" s="39"/>
      <c r="C452" s="39"/>
      <c r="D452" s="39"/>
      <c r="E452" s="39"/>
      <c r="F452" s="40"/>
      <c r="G452" s="38"/>
      <c r="H452" s="43"/>
      <c r="I452" s="43"/>
      <c r="J452" s="39"/>
      <c r="K452" s="38"/>
      <c r="L452" s="39"/>
      <c r="M452" s="39"/>
      <c r="N452" s="43"/>
      <c r="O452" s="38"/>
      <c r="P452" s="38"/>
      <c r="Q452" s="41" t="str">
        <f ca="1">IF(emp_db[[#This Row],[Exit Date]]&lt;&gt;"",(emp_db[[#This Row],[Exit Date]]-emp_db[[#This Row],[Column1]])/365,IF(emp_db[[#This Row],[ID]]&lt;&gt;"",(TODAY()-emp_db[[#This Row],[Column1]])/365,""))</f>
        <v/>
      </c>
      <c r="R452" s="42" t="str">
        <f ca="1">IF(emp_db[[#This Row],[Date of Birth]]&lt;&gt;"",(TODAY()-emp_db[[#This Row],[Date of Birth]])/365,"")</f>
        <v/>
      </c>
      <c r="S452" s="42">
        <f>YEAR(emp_db[[#This Row],[Column1]])</f>
        <v>1900</v>
      </c>
      <c r="T452" s="42">
        <f>MONTH(emp_db[[#This Row],[Column1]])</f>
        <v>1</v>
      </c>
      <c r="U452" s="42">
        <f>IFERROR(YEAR(emp_db[[#This Row],[Exit Date]]),"")</f>
        <v>1900</v>
      </c>
      <c r="V452" s="42">
        <f>IFERROR(MONTH(emp_db[[#This Row],[Exit Date]]),"")</f>
        <v>1</v>
      </c>
    </row>
    <row r="453" spans="2:22">
      <c r="B453" s="39"/>
      <c r="C453" s="39"/>
      <c r="D453" s="39"/>
      <c r="E453" s="39"/>
      <c r="F453" s="40"/>
      <c r="G453" s="38"/>
      <c r="H453" s="43"/>
      <c r="I453" s="43"/>
      <c r="J453" s="39"/>
      <c r="K453" s="38"/>
      <c r="L453" s="39"/>
      <c r="M453" s="39"/>
      <c r="N453" s="43"/>
      <c r="O453" s="38"/>
      <c r="P453" s="38"/>
      <c r="Q453" s="41" t="str">
        <f ca="1">IF(emp_db[[#This Row],[Exit Date]]&lt;&gt;"",(emp_db[[#This Row],[Exit Date]]-emp_db[[#This Row],[Column1]])/365,IF(emp_db[[#This Row],[ID]]&lt;&gt;"",(TODAY()-emp_db[[#This Row],[Column1]])/365,""))</f>
        <v/>
      </c>
      <c r="R453" s="42" t="str">
        <f ca="1">IF(emp_db[[#This Row],[Date of Birth]]&lt;&gt;"",(TODAY()-emp_db[[#This Row],[Date of Birth]])/365,"")</f>
        <v/>
      </c>
      <c r="S453" s="42">
        <f>YEAR(emp_db[[#This Row],[Column1]])</f>
        <v>1900</v>
      </c>
      <c r="T453" s="42">
        <f>MONTH(emp_db[[#This Row],[Column1]])</f>
        <v>1</v>
      </c>
      <c r="U453" s="42">
        <f>IFERROR(YEAR(emp_db[[#This Row],[Exit Date]]),"")</f>
        <v>1900</v>
      </c>
      <c r="V453" s="42">
        <f>IFERROR(MONTH(emp_db[[#This Row],[Exit Date]]),"")</f>
        <v>1</v>
      </c>
    </row>
    <row r="454" spans="2:22">
      <c r="B454" s="39"/>
      <c r="C454" s="39"/>
      <c r="D454" s="39"/>
      <c r="E454" s="39"/>
      <c r="F454" s="40"/>
      <c r="G454" s="38"/>
      <c r="H454" s="43"/>
      <c r="I454" s="43"/>
      <c r="J454" s="39"/>
      <c r="K454" s="38"/>
      <c r="L454" s="39"/>
      <c r="M454" s="39"/>
      <c r="N454" s="43"/>
      <c r="O454" s="38"/>
      <c r="P454" s="38"/>
      <c r="Q454" s="41" t="str">
        <f ca="1">IF(emp_db[[#This Row],[Exit Date]]&lt;&gt;"",(emp_db[[#This Row],[Exit Date]]-emp_db[[#This Row],[Column1]])/365,IF(emp_db[[#This Row],[ID]]&lt;&gt;"",(TODAY()-emp_db[[#This Row],[Column1]])/365,""))</f>
        <v/>
      </c>
      <c r="R454" s="42" t="str">
        <f ca="1">IF(emp_db[[#This Row],[Date of Birth]]&lt;&gt;"",(TODAY()-emp_db[[#This Row],[Date of Birth]])/365,"")</f>
        <v/>
      </c>
      <c r="S454" s="42">
        <f>YEAR(emp_db[[#This Row],[Column1]])</f>
        <v>1900</v>
      </c>
      <c r="T454" s="42">
        <f>MONTH(emp_db[[#This Row],[Column1]])</f>
        <v>1</v>
      </c>
      <c r="U454" s="42">
        <f>IFERROR(YEAR(emp_db[[#This Row],[Exit Date]]),"")</f>
        <v>1900</v>
      </c>
      <c r="V454" s="42">
        <f>IFERROR(MONTH(emp_db[[#This Row],[Exit Date]]),"")</f>
        <v>1</v>
      </c>
    </row>
    <row r="455" spans="2:22">
      <c r="B455" s="39"/>
      <c r="C455" s="39"/>
      <c r="D455" s="39"/>
      <c r="E455" s="39"/>
      <c r="F455" s="40"/>
      <c r="G455" s="38"/>
      <c r="H455" s="43"/>
      <c r="I455" s="43"/>
      <c r="J455" s="39"/>
      <c r="K455" s="38"/>
      <c r="L455" s="39"/>
      <c r="M455" s="39"/>
      <c r="N455" s="43"/>
      <c r="O455" s="38"/>
      <c r="P455" s="38"/>
      <c r="Q455" s="41" t="str">
        <f ca="1">IF(emp_db[[#This Row],[Exit Date]]&lt;&gt;"",(emp_db[[#This Row],[Exit Date]]-emp_db[[#This Row],[Column1]])/365,IF(emp_db[[#This Row],[ID]]&lt;&gt;"",(TODAY()-emp_db[[#This Row],[Column1]])/365,""))</f>
        <v/>
      </c>
      <c r="R455" s="42" t="str">
        <f ca="1">IF(emp_db[[#This Row],[Date of Birth]]&lt;&gt;"",(TODAY()-emp_db[[#This Row],[Date of Birth]])/365,"")</f>
        <v/>
      </c>
      <c r="S455" s="42">
        <f>YEAR(emp_db[[#This Row],[Column1]])</f>
        <v>1900</v>
      </c>
      <c r="T455" s="42">
        <f>MONTH(emp_db[[#This Row],[Column1]])</f>
        <v>1</v>
      </c>
      <c r="U455" s="42">
        <f>IFERROR(YEAR(emp_db[[#This Row],[Exit Date]]),"")</f>
        <v>1900</v>
      </c>
      <c r="V455" s="42">
        <f>IFERROR(MONTH(emp_db[[#This Row],[Exit Date]]),"")</f>
        <v>1</v>
      </c>
    </row>
    <row r="456" spans="2:22">
      <c r="B456" s="39"/>
      <c r="C456" s="39"/>
      <c r="D456" s="39"/>
      <c r="E456" s="39"/>
      <c r="F456" s="40"/>
      <c r="G456" s="38"/>
      <c r="H456" s="43"/>
      <c r="I456" s="43"/>
      <c r="J456" s="39"/>
      <c r="K456" s="38"/>
      <c r="L456" s="39"/>
      <c r="M456" s="39"/>
      <c r="N456" s="43"/>
      <c r="O456" s="38"/>
      <c r="P456" s="38"/>
      <c r="Q456" s="41" t="str">
        <f ca="1">IF(emp_db[[#This Row],[Exit Date]]&lt;&gt;"",(emp_db[[#This Row],[Exit Date]]-emp_db[[#This Row],[Column1]])/365,IF(emp_db[[#This Row],[ID]]&lt;&gt;"",(TODAY()-emp_db[[#This Row],[Column1]])/365,""))</f>
        <v/>
      </c>
      <c r="R456" s="42" t="str">
        <f ca="1">IF(emp_db[[#This Row],[Date of Birth]]&lt;&gt;"",(TODAY()-emp_db[[#This Row],[Date of Birth]])/365,"")</f>
        <v/>
      </c>
      <c r="S456" s="42">
        <f>YEAR(emp_db[[#This Row],[Column1]])</f>
        <v>1900</v>
      </c>
      <c r="T456" s="42">
        <f>MONTH(emp_db[[#This Row],[Column1]])</f>
        <v>1</v>
      </c>
      <c r="U456" s="42">
        <f>IFERROR(YEAR(emp_db[[#This Row],[Exit Date]]),"")</f>
        <v>1900</v>
      </c>
      <c r="V456" s="42">
        <f>IFERROR(MONTH(emp_db[[#This Row],[Exit Date]]),"")</f>
        <v>1</v>
      </c>
    </row>
    <row r="457" spans="2:22">
      <c r="B457" s="39"/>
      <c r="C457" s="39"/>
      <c r="D457" s="39"/>
      <c r="E457" s="39"/>
      <c r="F457" s="40"/>
      <c r="G457" s="38"/>
      <c r="H457" s="43"/>
      <c r="I457" s="43"/>
      <c r="J457" s="39"/>
      <c r="K457" s="38"/>
      <c r="L457" s="39"/>
      <c r="M457" s="39"/>
      <c r="N457" s="43"/>
      <c r="O457" s="38"/>
      <c r="P457" s="38"/>
      <c r="Q457" s="41" t="str">
        <f ca="1">IF(emp_db[[#This Row],[Exit Date]]&lt;&gt;"",(emp_db[[#This Row],[Exit Date]]-emp_db[[#This Row],[Column1]])/365,IF(emp_db[[#This Row],[ID]]&lt;&gt;"",(TODAY()-emp_db[[#This Row],[Column1]])/365,""))</f>
        <v/>
      </c>
      <c r="R457" s="42" t="str">
        <f ca="1">IF(emp_db[[#This Row],[Date of Birth]]&lt;&gt;"",(TODAY()-emp_db[[#This Row],[Date of Birth]])/365,"")</f>
        <v/>
      </c>
      <c r="S457" s="42">
        <f>YEAR(emp_db[[#This Row],[Column1]])</f>
        <v>1900</v>
      </c>
      <c r="T457" s="42">
        <f>MONTH(emp_db[[#This Row],[Column1]])</f>
        <v>1</v>
      </c>
      <c r="U457" s="42">
        <f>IFERROR(YEAR(emp_db[[#This Row],[Exit Date]]),"")</f>
        <v>1900</v>
      </c>
      <c r="V457" s="42">
        <f>IFERROR(MONTH(emp_db[[#This Row],[Exit Date]]),"")</f>
        <v>1</v>
      </c>
    </row>
    <row r="458" spans="2:22">
      <c r="B458" s="39"/>
      <c r="C458" s="39"/>
      <c r="D458" s="39"/>
      <c r="E458" s="39"/>
      <c r="F458" s="40"/>
      <c r="G458" s="38"/>
      <c r="H458" s="43"/>
      <c r="I458" s="43"/>
      <c r="J458" s="39"/>
      <c r="K458" s="38"/>
      <c r="L458" s="39"/>
      <c r="M458" s="39"/>
      <c r="N458" s="43"/>
      <c r="O458" s="38"/>
      <c r="P458" s="38"/>
      <c r="Q458" s="41" t="str">
        <f ca="1">IF(emp_db[[#This Row],[Exit Date]]&lt;&gt;"",(emp_db[[#This Row],[Exit Date]]-emp_db[[#This Row],[Column1]])/365,IF(emp_db[[#This Row],[ID]]&lt;&gt;"",(TODAY()-emp_db[[#This Row],[Column1]])/365,""))</f>
        <v/>
      </c>
      <c r="R458" s="42" t="str">
        <f ca="1">IF(emp_db[[#This Row],[Date of Birth]]&lt;&gt;"",(TODAY()-emp_db[[#This Row],[Date of Birth]])/365,"")</f>
        <v/>
      </c>
      <c r="S458" s="42">
        <f>YEAR(emp_db[[#This Row],[Column1]])</f>
        <v>1900</v>
      </c>
      <c r="T458" s="42">
        <f>MONTH(emp_db[[#This Row],[Column1]])</f>
        <v>1</v>
      </c>
      <c r="U458" s="42">
        <f>IFERROR(YEAR(emp_db[[#This Row],[Exit Date]]),"")</f>
        <v>1900</v>
      </c>
      <c r="V458" s="42">
        <f>IFERROR(MONTH(emp_db[[#This Row],[Exit Date]]),"")</f>
        <v>1</v>
      </c>
    </row>
    <row r="459" spans="2:22">
      <c r="B459" s="39"/>
      <c r="C459" s="39"/>
      <c r="D459" s="39"/>
      <c r="E459" s="39"/>
      <c r="F459" s="40"/>
      <c r="G459" s="38"/>
      <c r="H459" s="43"/>
      <c r="I459" s="43"/>
      <c r="J459" s="39"/>
      <c r="K459" s="38"/>
      <c r="L459" s="39"/>
      <c r="M459" s="39"/>
      <c r="N459" s="43"/>
      <c r="O459" s="38"/>
      <c r="P459" s="38"/>
      <c r="Q459" s="41" t="str">
        <f ca="1">IF(emp_db[[#This Row],[Exit Date]]&lt;&gt;"",(emp_db[[#This Row],[Exit Date]]-emp_db[[#This Row],[Column1]])/365,IF(emp_db[[#This Row],[ID]]&lt;&gt;"",(TODAY()-emp_db[[#This Row],[Column1]])/365,""))</f>
        <v/>
      </c>
      <c r="R459" s="42" t="str">
        <f ca="1">IF(emp_db[[#This Row],[Date of Birth]]&lt;&gt;"",(TODAY()-emp_db[[#This Row],[Date of Birth]])/365,"")</f>
        <v/>
      </c>
      <c r="S459" s="42">
        <f>YEAR(emp_db[[#This Row],[Column1]])</f>
        <v>1900</v>
      </c>
      <c r="T459" s="42">
        <f>MONTH(emp_db[[#This Row],[Column1]])</f>
        <v>1</v>
      </c>
      <c r="U459" s="42">
        <f>IFERROR(YEAR(emp_db[[#This Row],[Exit Date]]),"")</f>
        <v>1900</v>
      </c>
      <c r="V459" s="42">
        <f>IFERROR(MONTH(emp_db[[#This Row],[Exit Date]]),"")</f>
        <v>1</v>
      </c>
    </row>
    <row r="460" spans="2:22">
      <c r="B460" s="39"/>
      <c r="C460" s="39"/>
      <c r="D460" s="39"/>
      <c r="E460" s="39"/>
      <c r="F460" s="40"/>
      <c r="G460" s="38"/>
      <c r="H460" s="43"/>
      <c r="I460" s="43"/>
      <c r="J460" s="39"/>
      <c r="K460" s="38"/>
      <c r="L460" s="39"/>
      <c r="M460" s="39"/>
      <c r="N460" s="43"/>
      <c r="O460" s="38"/>
      <c r="P460" s="38"/>
      <c r="Q460" s="41" t="str">
        <f ca="1">IF(emp_db[[#This Row],[Exit Date]]&lt;&gt;"",(emp_db[[#This Row],[Exit Date]]-emp_db[[#This Row],[Column1]])/365,IF(emp_db[[#This Row],[ID]]&lt;&gt;"",(TODAY()-emp_db[[#This Row],[Column1]])/365,""))</f>
        <v/>
      </c>
      <c r="R460" s="42" t="str">
        <f ca="1">IF(emp_db[[#This Row],[Date of Birth]]&lt;&gt;"",(TODAY()-emp_db[[#This Row],[Date of Birth]])/365,"")</f>
        <v/>
      </c>
      <c r="S460" s="42">
        <f>YEAR(emp_db[[#This Row],[Column1]])</f>
        <v>1900</v>
      </c>
      <c r="T460" s="42">
        <f>MONTH(emp_db[[#This Row],[Column1]])</f>
        <v>1</v>
      </c>
      <c r="U460" s="42">
        <f>IFERROR(YEAR(emp_db[[#This Row],[Exit Date]]),"")</f>
        <v>1900</v>
      </c>
      <c r="V460" s="42">
        <f>IFERROR(MONTH(emp_db[[#This Row],[Exit Date]]),"")</f>
        <v>1</v>
      </c>
    </row>
    <row r="461" spans="2:22">
      <c r="B461" s="39"/>
      <c r="C461" s="39"/>
      <c r="D461" s="39"/>
      <c r="E461" s="39"/>
      <c r="F461" s="40"/>
      <c r="G461" s="38"/>
      <c r="H461" s="43"/>
      <c r="I461" s="43"/>
      <c r="J461" s="39"/>
      <c r="K461" s="38"/>
      <c r="L461" s="39"/>
      <c r="M461" s="39"/>
      <c r="N461" s="43"/>
      <c r="O461" s="38"/>
      <c r="P461" s="38"/>
      <c r="Q461" s="41" t="str">
        <f ca="1">IF(emp_db[[#This Row],[Exit Date]]&lt;&gt;"",(emp_db[[#This Row],[Exit Date]]-emp_db[[#This Row],[Column1]])/365,IF(emp_db[[#This Row],[ID]]&lt;&gt;"",(TODAY()-emp_db[[#This Row],[Column1]])/365,""))</f>
        <v/>
      </c>
      <c r="R461" s="42" t="str">
        <f ca="1">IF(emp_db[[#This Row],[Date of Birth]]&lt;&gt;"",(TODAY()-emp_db[[#This Row],[Date of Birth]])/365,"")</f>
        <v/>
      </c>
      <c r="S461" s="42">
        <f>YEAR(emp_db[[#This Row],[Column1]])</f>
        <v>1900</v>
      </c>
      <c r="T461" s="42">
        <f>MONTH(emp_db[[#This Row],[Column1]])</f>
        <v>1</v>
      </c>
      <c r="U461" s="42">
        <f>IFERROR(YEAR(emp_db[[#This Row],[Exit Date]]),"")</f>
        <v>1900</v>
      </c>
      <c r="V461" s="42">
        <f>IFERROR(MONTH(emp_db[[#This Row],[Exit Date]]),"")</f>
        <v>1</v>
      </c>
    </row>
    <row r="462" spans="2:22">
      <c r="B462" s="39"/>
      <c r="C462" s="39"/>
      <c r="D462" s="39"/>
      <c r="E462" s="39"/>
      <c r="F462" s="40"/>
      <c r="G462" s="38"/>
      <c r="H462" s="43"/>
      <c r="I462" s="43"/>
      <c r="J462" s="39"/>
      <c r="K462" s="38"/>
      <c r="L462" s="39"/>
      <c r="M462" s="39"/>
      <c r="N462" s="43"/>
      <c r="O462" s="38"/>
      <c r="P462" s="38"/>
      <c r="Q462" s="41" t="str">
        <f ca="1">IF(emp_db[[#This Row],[Exit Date]]&lt;&gt;"",(emp_db[[#This Row],[Exit Date]]-emp_db[[#This Row],[Column1]])/365,IF(emp_db[[#This Row],[ID]]&lt;&gt;"",(TODAY()-emp_db[[#This Row],[Column1]])/365,""))</f>
        <v/>
      </c>
      <c r="R462" s="42" t="str">
        <f ca="1">IF(emp_db[[#This Row],[Date of Birth]]&lt;&gt;"",(TODAY()-emp_db[[#This Row],[Date of Birth]])/365,"")</f>
        <v/>
      </c>
      <c r="S462" s="42">
        <f>YEAR(emp_db[[#This Row],[Column1]])</f>
        <v>1900</v>
      </c>
      <c r="T462" s="42">
        <f>MONTH(emp_db[[#This Row],[Column1]])</f>
        <v>1</v>
      </c>
      <c r="U462" s="42">
        <f>IFERROR(YEAR(emp_db[[#This Row],[Exit Date]]),"")</f>
        <v>1900</v>
      </c>
      <c r="V462" s="42">
        <f>IFERROR(MONTH(emp_db[[#This Row],[Exit Date]]),"")</f>
        <v>1</v>
      </c>
    </row>
    <row r="463" spans="2:22">
      <c r="B463" s="39"/>
      <c r="C463" s="39"/>
      <c r="D463" s="39"/>
      <c r="E463" s="39"/>
      <c r="F463" s="40"/>
      <c r="G463" s="38"/>
      <c r="H463" s="43"/>
      <c r="I463" s="43"/>
      <c r="J463" s="39"/>
      <c r="K463" s="38"/>
      <c r="L463" s="39"/>
      <c r="M463" s="39"/>
      <c r="N463" s="43"/>
      <c r="O463" s="38"/>
      <c r="P463" s="38"/>
      <c r="Q463" s="41" t="str">
        <f ca="1">IF(emp_db[[#This Row],[Exit Date]]&lt;&gt;"",(emp_db[[#This Row],[Exit Date]]-emp_db[[#This Row],[Column1]])/365,IF(emp_db[[#This Row],[ID]]&lt;&gt;"",(TODAY()-emp_db[[#This Row],[Column1]])/365,""))</f>
        <v/>
      </c>
      <c r="R463" s="42" t="str">
        <f ca="1">IF(emp_db[[#This Row],[Date of Birth]]&lt;&gt;"",(TODAY()-emp_db[[#This Row],[Date of Birth]])/365,"")</f>
        <v/>
      </c>
      <c r="S463" s="42">
        <f>YEAR(emp_db[[#This Row],[Column1]])</f>
        <v>1900</v>
      </c>
      <c r="T463" s="42">
        <f>MONTH(emp_db[[#This Row],[Column1]])</f>
        <v>1</v>
      </c>
      <c r="U463" s="42">
        <f>IFERROR(YEAR(emp_db[[#This Row],[Exit Date]]),"")</f>
        <v>1900</v>
      </c>
      <c r="V463" s="42">
        <f>IFERROR(MONTH(emp_db[[#This Row],[Exit Date]]),"")</f>
        <v>1</v>
      </c>
    </row>
    <row r="464" spans="2:22">
      <c r="B464" s="39"/>
      <c r="C464" s="39"/>
      <c r="D464" s="39"/>
      <c r="E464" s="39"/>
      <c r="F464" s="40"/>
      <c r="G464" s="38"/>
      <c r="H464" s="43"/>
      <c r="I464" s="43"/>
      <c r="J464" s="39"/>
      <c r="K464" s="38"/>
      <c r="L464" s="39"/>
      <c r="M464" s="39"/>
      <c r="N464" s="43"/>
      <c r="O464" s="38"/>
      <c r="P464" s="38"/>
      <c r="Q464" s="41" t="str">
        <f ca="1">IF(emp_db[[#This Row],[Exit Date]]&lt;&gt;"",(emp_db[[#This Row],[Exit Date]]-emp_db[[#This Row],[Column1]])/365,IF(emp_db[[#This Row],[ID]]&lt;&gt;"",(TODAY()-emp_db[[#This Row],[Column1]])/365,""))</f>
        <v/>
      </c>
      <c r="R464" s="42" t="str">
        <f ca="1">IF(emp_db[[#This Row],[Date of Birth]]&lt;&gt;"",(TODAY()-emp_db[[#This Row],[Date of Birth]])/365,"")</f>
        <v/>
      </c>
      <c r="S464" s="42">
        <f>YEAR(emp_db[[#This Row],[Column1]])</f>
        <v>1900</v>
      </c>
      <c r="T464" s="42">
        <f>MONTH(emp_db[[#This Row],[Column1]])</f>
        <v>1</v>
      </c>
      <c r="U464" s="42">
        <f>IFERROR(YEAR(emp_db[[#This Row],[Exit Date]]),"")</f>
        <v>1900</v>
      </c>
      <c r="V464" s="42">
        <f>IFERROR(MONTH(emp_db[[#This Row],[Exit Date]]),"")</f>
        <v>1</v>
      </c>
    </row>
    <row r="465" spans="2:22">
      <c r="B465" s="39"/>
      <c r="C465" s="39"/>
      <c r="D465" s="39"/>
      <c r="E465" s="39"/>
      <c r="F465" s="40"/>
      <c r="G465" s="38"/>
      <c r="H465" s="43"/>
      <c r="I465" s="43"/>
      <c r="J465" s="39"/>
      <c r="K465" s="38"/>
      <c r="L465" s="39"/>
      <c r="M465" s="39"/>
      <c r="N465" s="43"/>
      <c r="O465" s="38"/>
      <c r="P465" s="38"/>
      <c r="Q465" s="41" t="str">
        <f ca="1">IF(emp_db[[#This Row],[Exit Date]]&lt;&gt;"",(emp_db[[#This Row],[Exit Date]]-emp_db[[#This Row],[Column1]])/365,IF(emp_db[[#This Row],[ID]]&lt;&gt;"",(TODAY()-emp_db[[#This Row],[Column1]])/365,""))</f>
        <v/>
      </c>
      <c r="R465" s="42" t="str">
        <f ca="1">IF(emp_db[[#This Row],[Date of Birth]]&lt;&gt;"",(TODAY()-emp_db[[#This Row],[Date of Birth]])/365,"")</f>
        <v/>
      </c>
      <c r="S465" s="42">
        <f>YEAR(emp_db[[#This Row],[Column1]])</f>
        <v>1900</v>
      </c>
      <c r="T465" s="42">
        <f>MONTH(emp_db[[#This Row],[Column1]])</f>
        <v>1</v>
      </c>
      <c r="U465" s="42">
        <f>IFERROR(YEAR(emp_db[[#This Row],[Exit Date]]),"")</f>
        <v>1900</v>
      </c>
      <c r="V465" s="42">
        <f>IFERROR(MONTH(emp_db[[#This Row],[Exit Date]]),"")</f>
        <v>1</v>
      </c>
    </row>
    <row r="466" spans="2:22">
      <c r="B466" s="39"/>
      <c r="C466" s="39"/>
      <c r="D466" s="39"/>
      <c r="E466" s="39"/>
      <c r="F466" s="40"/>
      <c r="G466" s="38"/>
      <c r="H466" s="43"/>
      <c r="I466" s="43"/>
      <c r="J466" s="39"/>
      <c r="K466" s="38"/>
      <c r="L466" s="39"/>
      <c r="M466" s="39"/>
      <c r="N466" s="43"/>
      <c r="O466" s="38"/>
      <c r="P466" s="38"/>
      <c r="Q466" s="41" t="str">
        <f ca="1">IF(emp_db[[#This Row],[Exit Date]]&lt;&gt;"",(emp_db[[#This Row],[Exit Date]]-emp_db[[#This Row],[Column1]])/365,IF(emp_db[[#This Row],[ID]]&lt;&gt;"",(TODAY()-emp_db[[#This Row],[Column1]])/365,""))</f>
        <v/>
      </c>
      <c r="R466" s="42" t="str">
        <f ca="1">IF(emp_db[[#This Row],[Date of Birth]]&lt;&gt;"",(TODAY()-emp_db[[#This Row],[Date of Birth]])/365,"")</f>
        <v/>
      </c>
      <c r="S466" s="42">
        <f>YEAR(emp_db[[#This Row],[Column1]])</f>
        <v>1900</v>
      </c>
      <c r="T466" s="42">
        <f>MONTH(emp_db[[#This Row],[Column1]])</f>
        <v>1</v>
      </c>
      <c r="U466" s="42">
        <f>IFERROR(YEAR(emp_db[[#This Row],[Exit Date]]),"")</f>
        <v>1900</v>
      </c>
      <c r="V466" s="42">
        <f>IFERROR(MONTH(emp_db[[#This Row],[Exit Date]]),"")</f>
        <v>1</v>
      </c>
    </row>
    <row r="467" spans="2:22">
      <c r="B467" s="39"/>
      <c r="C467" s="39"/>
      <c r="D467" s="39"/>
      <c r="E467" s="39"/>
      <c r="F467" s="40"/>
      <c r="G467" s="38"/>
      <c r="H467" s="43"/>
      <c r="I467" s="43"/>
      <c r="J467" s="39"/>
      <c r="K467" s="38"/>
      <c r="L467" s="39"/>
      <c r="M467" s="39"/>
      <c r="N467" s="43"/>
      <c r="O467" s="38"/>
      <c r="P467" s="38"/>
      <c r="Q467" s="41" t="str">
        <f ca="1">IF(emp_db[[#This Row],[Exit Date]]&lt;&gt;"",(emp_db[[#This Row],[Exit Date]]-emp_db[[#This Row],[Column1]])/365,IF(emp_db[[#This Row],[ID]]&lt;&gt;"",(TODAY()-emp_db[[#This Row],[Column1]])/365,""))</f>
        <v/>
      </c>
      <c r="R467" s="42" t="str">
        <f ca="1">IF(emp_db[[#This Row],[Date of Birth]]&lt;&gt;"",(TODAY()-emp_db[[#This Row],[Date of Birth]])/365,"")</f>
        <v/>
      </c>
      <c r="S467" s="42">
        <f>YEAR(emp_db[[#This Row],[Column1]])</f>
        <v>1900</v>
      </c>
      <c r="T467" s="42">
        <f>MONTH(emp_db[[#This Row],[Column1]])</f>
        <v>1</v>
      </c>
      <c r="U467" s="42">
        <f>IFERROR(YEAR(emp_db[[#This Row],[Exit Date]]),"")</f>
        <v>1900</v>
      </c>
      <c r="V467" s="42">
        <f>IFERROR(MONTH(emp_db[[#This Row],[Exit Date]]),"")</f>
        <v>1</v>
      </c>
    </row>
    <row r="468" spans="2:22">
      <c r="B468" s="39"/>
      <c r="C468" s="39"/>
      <c r="D468" s="39"/>
      <c r="E468" s="39"/>
      <c r="F468" s="40"/>
      <c r="G468" s="38"/>
      <c r="H468" s="43"/>
      <c r="I468" s="43"/>
      <c r="J468" s="39"/>
      <c r="K468" s="38"/>
      <c r="L468" s="39"/>
      <c r="M468" s="39"/>
      <c r="N468" s="43"/>
      <c r="O468" s="38"/>
      <c r="P468" s="38"/>
      <c r="Q468" s="41" t="str">
        <f ca="1">IF(emp_db[[#This Row],[Exit Date]]&lt;&gt;"",(emp_db[[#This Row],[Exit Date]]-emp_db[[#This Row],[Column1]])/365,IF(emp_db[[#This Row],[ID]]&lt;&gt;"",(TODAY()-emp_db[[#This Row],[Column1]])/365,""))</f>
        <v/>
      </c>
      <c r="R468" s="42" t="str">
        <f ca="1">IF(emp_db[[#This Row],[Date of Birth]]&lt;&gt;"",(TODAY()-emp_db[[#This Row],[Date of Birth]])/365,"")</f>
        <v/>
      </c>
      <c r="S468" s="42">
        <f>YEAR(emp_db[[#This Row],[Column1]])</f>
        <v>1900</v>
      </c>
      <c r="T468" s="42">
        <f>MONTH(emp_db[[#This Row],[Column1]])</f>
        <v>1</v>
      </c>
      <c r="U468" s="42">
        <f>IFERROR(YEAR(emp_db[[#This Row],[Exit Date]]),"")</f>
        <v>1900</v>
      </c>
      <c r="V468" s="42">
        <f>IFERROR(MONTH(emp_db[[#This Row],[Exit Date]]),"")</f>
        <v>1</v>
      </c>
    </row>
    <row r="469" spans="2:22">
      <c r="B469" s="39"/>
      <c r="C469" s="39"/>
      <c r="D469" s="39"/>
      <c r="E469" s="39"/>
      <c r="F469" s="40"/>
      <c r="G469" s="38"/>
      <c r="H469" s="43"/>
      <c r="I469" s="43"/>
      <c r="J469" s="39"/>
      <c r="K469" s="38"/>
      <c r="L469" s="39"/>
      <c r="M469" s="39"/>
      <c r="N469" s="43"/>
      <c r="O469" s="38"/>
      <c r="P469" s="38"/>
      <c r="Q469" s="41" t="str">
        <f ca="1">IF(emp_db[[#This Row],[Exit Date]]&lt;&gt;"",(emp_db[[#This Row],[Exit Date]]-emp_db[[#This Row],[Column1]])/365,IF(emp_db[[#This Row],[ID]]&lt;&gt;"",(TODAY()-emp_db[[#This Row],[Column1]])/365,""))</f>
        <v/>
      </c>
      <c r="R469" s="42" t="str">
        <f ca="1">IF(emp_db[[#This Row],[Date of Birth]]&lt;&gt;"",(TODAY()-emp_db[[#This Row],[Date of Birth]])/365,"")</f>
        <v/>
      </c>
      <c r="S469" s="42">
        <f>YEAR(emp_db[[#This Row],[Column1]])</f>
        <v>1900</v>
      </c>
      <c r="T469" s="42">
        <f>MONTH(emp_db[[#This Row],[Column1]])</f>
        <v>1</v>
      </c>
      <c r="U469" s="42">
        <f>IFERROR(YEAR(emp_db[[#This Row],[Exit Date]]),"")</f>
        <v>1900</v>
      </c>
      <c r="V469" s="42">
        <f>IFERROR(MONTH(emp_db[[#This Row],[Exit Date]]),"")</f>
        <v>1</v>
      </c>
    </row>
    <row r="470" spans="2:22">
      <c r="B470" s="39"/>
      <c r="C470" s="39"/>
      <c r="D470" s="39"/>
      <c r="E470" s="39"/>
      <c r="F470" s="40"/>
      <c r="G470" s="38"/>
      <c r="H470" s="43"/>
      <c r="I470" s="43"/>
      <c r="J470" s="39"/>
      <c r="K470" s="38"/>
      <c r="L470" s="39"/>
      <c r="M470" s="39"/>
      <c r="N470" s="43"/>
      <c r="O470" s="38"/>
      <c r="P470" s="38"/>
      <c r="Q470" s="41" t="str">
        <f ca="1">IF(emp_db[[#This Row],[Exit Date]]&lt;&gt;"",(emp_db[[#This Row],[Exit Date]]-emp_db[[#This Row],[Column1]])/365,IF(emp_db[[#This Row],[ID]]&lt;&gt;"",(TODAY()-emp_db[[#This Row],[Column1]])/365,""))</f>
        <v/>
      </c>
      <c r="R470" s="42" t="str">
        <f ca="1">IF(emp_db[[#This Row],[Date of Birth]]&lt;&gt;"",(TODAY()-emp_db[[#This Row],[Date of Birth]])/365,"")</f>
        <v/>
      </c>
      <c r="S470" s="42">
        <f>YEAR(emp_db[[#This Row],[Column1]])</f>
        <v>1900</v>
      </c>
      <c r="T470" s="42">
        <f>MONTH(emp_db[[#This Row],[Column1]])</f>
        <v>1</v>
      </c>
      <c r="U470" s="42">
        <f>IFERROR(YEAR(emp_db[[#This Row],[Exit Date]]),"")</f>
        <v>1900</v>
      </c>
      <c r="V470" s="42">
        <f>IFERROR(MONTH(emp_db[[#This Row],[Exit Date]]),"")</f>
        <v>1</v>
      </c>
    </row>
    <row r="471" spans="2:22">
      <c r="B471" s="39"/>
      <c r="C471" s="39"/>
      <c r="D471" s="39"/>
      <c r="E471" s="39"/>
      <c r="F471" s="40"/>
      <c r="G471" s="38"/>
      <c r="H471" s="43"/>
      <c r="I471" s="43"/>
      <c r="J471" s="39"/>
      <c r="K471" s="38"/>
      <c r="L471" s="39"/>
      <c r="M471" s="39"/>
      <c r="N471" s="43"/>
      <c r="O471" s="38"/>
      <c r="P471" s="38"/>
      <c r="Q471" s="41" t="str">
        <f ca="1">IF(emp_db[[#This Row],[Exit Date]]&lt;&gt;"",(emp_db[[#This Row],[Exit Date]]-emp_db[[#This Row],[Column1]])/365,IF(emp_db[[#This Row],[ID]]&lt;&gt;"",(TODAY()-emp_db[[#This Row],[Column1]])/365,""))</f>
        <v/>
      </c>
      <c r="R471" s="42" t="str">
        <f ca="1">IF(emp_db[[#This Row],[Date of Birth]]&lt;&gt;"",(TODAY()-emp_db[[#This Row],[Date of Birth]])/365,"")</f>
        <v/>
      </c>
      <c r="S471" s="42">
        <f>YEAR(emp_db[[#This Row],[Column1]])</f>
        <v>1900</v>
      </c>
      <c r="T471" s="42">
        <f>MONTH(emp_db[[#This Row],[Column1]])</f>
        <v>1</v>
      </c>
      <c r="U471" s="42">
        <f>IFERROR(YEAR(emp_db[[#This Row],[Exit Date]]),"")</f>
        <v>1900</v>
      </c>
      <c r="V471" s="42">
        <f>IFERROR(MONTH(emp_db[[#This Row],[Exit Date]]),"")</f>
        <v>1</v>
      </c>
    </row>
    <row r="472" spans="2:22">
      <c r="B472" s="39"/>
      <c r="C472" s="39"/>
      <c r="D472" s="39"/>
      <c r="E472" s="39"/>
      <c r="F472" s="40"/>
      <c r="G472" s="38"/>
      <c r="H472" s="43"/>
      <c r="I472" s="43"/>
      <c r="J472" s="39"/>
      <c r="K472" s="38"/>
      <c r="L472" s="39"/>
      <c r="M472" s="39"/>
      <c r="N472" s="43"/>
      <c r="O472" s="38"/>
      <c r="P472" s="38"/>
      <c r="Q472" s="41" t="str">
        <f ca="1">IF(emp_db[[#This Row],[Exit Date]]&lt;&gt;"",(emp_db[[#This Row],[Exit Date]]-emp_db[[#This Row],[Column1]])/365,IF(emp_db[[#This Row],[ID]]&lt;&gt;"",(TODAY()-emp_db[[#This Row],[Column1]])/365,""))</f>
        <v/>
      </c>
      <c r="R472" s="42" t="str">
        <f ca="1">IF(emp_db[[#This Row],[Date of Birth]]&lt;&gt;"",(TODAY()-emp_db[[#This Row],[Date of Birth]])/365,"")</f>
        <v/>
      </c>
      <c r="S472" s="42">
        <f>YEAR(emp_db[[#This Row],[Column1]])</f>
        <v>1900</v>
      </c>
      <c r="T472" s="42">
        <f>MONTH(emp_db[[#This Row],[Column1]])</f>
        <v>1</v>
      </c>
      <c r="U472" s="42">
        <f>IFERROR(YEAR(emp_db[[#This Row],[Exit Date]]),"")</f>
        <v>1900</v>
      </c>
      <c r="V472" s="42">
        <f>IFERROR(MONTH(emp_db[[#This Row],[Exit Date]]),"")</f>
        <v>1</v>
      </c>
    </row>
    <row r="473" spans="2:22">
      <c r="B473" s="39"/>
      <c r="C473" s="39"/>
      <c r="D473" s="39"/>
      <c r="E473" s="39"/>
      <c r="F473" s="40"/>
      <c r="G473" s="38"/>
      <c r="H473" s="43"/>
      <c r="I473" s="43"/>
      <c r="J473" s="39"/>
      <c r="K473" s="38"/>
      <c r="L473" s="39"/>
      <c r="M473" s="39"/>
      <c r="N473" s="43"/>
      <c r="O473" s="38"/>
      <c r="P473" s="38"/>
      <c r="Q473" s="41" t="str">
        <f ca="1">IF(emp_db[[#This Row],[Exit Date]]&lt;&gt;"",(emp_db[[#This Row],[Exit Date]]-emp_db[[#This Row],[Column1]])/365,IF(emp_db[[#This Row],[ID]]&lt;&gt;"",(TODAY()-emp_db[[#This Row],[Column1]])/365,""))</f>
        <v/>
      </c>
      <c r="R473" s="42" t="str">
        <f ca="1">IF(emp_db[[#This Row],[Date of Birth]]&lt;&gt;"",(TODAY()-emp_db[[#This Row],[Date of Birth]])/365,"")</f>
        <v/>
      </c>
      <c r="S473" s="42">
        <f>YEAR(emp_db[[#This Row],[Column1]])</f>
        <v>1900</v>
      </c>
      <c r="T473" s="42">
        <f>MONTH(emp_db[[#This Row],[Column1]])</f>
        <v>1</v>
      </c>
      <c r="U473" s="42">
        <f>IFERROR(YEAR(emp_db[[#This Row],[Exit Date]]),"")</f>
        <v>1900</v>
      </c>
      <c r="V473" s="42">
        <f>IFERROR(MONTH(emp_db[[#This Row],[Exit Date]]),"")</f>
        <v>1</v>
      </c>
    </row>
    <row r="474" spans="2:22">
      <c r="B474" s="39"/>
      <c r="C474" s="39"/>
      <c r="D474" s="39"/>
      <c r="E474" s="39"/>
      <c r="F474" s="40"/>
      <c r="G474" s="38"/>
      <c r="H474" s="43"/>
      <c r="I474" s="43"/>
      <c r="J474" s="39"/>
      <c r="K474" s="38"/>
      <c r="L474" s="39"/>
      <c r="M474" s="39"/>
      <c r="N474" s="43"/>
      <c r="O474" s="38"/>
      <c r="P474" s="38"/>
      <c r="Q474" s="41" t="str">
        <f ca="1">IF(emp_db[[#This Row],[Exit Date]]&lt;&gt;"",(emp_db[[#This Row],[Exit Date]]-emp_db[[#This Row],[Column1]])/365,IF(emp_db[[#This Row],[ID]]&lt;&gt;"",(TODAY()-emp_db[[#This Row],[Column1]])/365,""))</f>
        <v/>
      </c>
      <c r="R474" s="42" t="str">
        <f ca="1">IF(emp_db[[#This Row],[Date of Birth]]&lt;&gt;"",(TODAY()-emp_db[[#This Row],[Date of Birth]])/365,"")</f>
        <v/>
      </c>
      <c r="S474" s="42">
        <f>YEAR(emp_db[[#This Row],[Column1]])</f>
        <v>1900</v>
      </c>
      <c r="T474" s="42">
        <f>MONTH(emp_db[[#This Row],[Column1]])</f>
        <v>1</v>
      </c>
      <c r="U474" s="42">
        <f>IFERROR(YEAR(emp_db[[#This Row],[Exit Date]]),"")</f>
        <v>1900</v>
      </c>
      <c r="V474" s="42">
        <f>IFERROR(MONTH(emp_db[[#This Row],[Exit Date]]),"")</f>
        <v>1</v>
      </c>
    </row>
    <row r="475" spans="2:22">
      <c r="B475" s="39"/>
      <c r="C475" s="39"/>
      <c r="D475" s="39"/>
      <c r="E475" s="39"/>
      <c r="F475" s="40"/>
      <c r="G475" s="38"/>
      <c r="H475" s="43"/>
      <c r="I475" s="43"/>
      <c r="J475" s="39"/>
      <c r="K475" s="38"/>
      <c r="L475" s="39"/>
      <c r="M475" s="39"/>
      <c r="N475" s="43"/>
      <c r="O475" s="38"/>
      <c r="P475" s="38"/>
      <c r="Q475" s="41" t="str">
        <f ca="1">IF(emp_db[[#This Row],[Exit Date]]&lt;&gt;"",(emp_db[[#This Row],[Exit Date]]-emp_db[[#This Row],[Column1]])/365,IF(emp_db[[#This Row],[ID]]&lt;&gt;"",(TODAY()-emp_db[[#This Row],[Column1]])/365,""))</f>
        <v/>
      </c>
      <c r="R475" s="42" t="str">
        <f ca="1">IF(emp_db[[#This Row],[Date of Birth]]&lt;&gt;"",(TODAY()-emp_db[[#This Row],[Date of Birth]])/365,"")</f>
        <v/>
      </c>
      <c r="S475" s="42">
        <f>YEAR(emp_db[[#This Row],[Column1]])</f>
        <v>1900</v>
      </c>
      <c r="T475" s="42">
        <f>MONTH(emp_db[[#This Row],[Column1]])</f>
        <v>1</v>
      </c>
      <c r="U475" s="42">
        <f>IFERROR(YEAR(emp_db[[#This Row],[Exit Date]]),"")</f>
        <v>1900</v>
      </c>
      <c r="V475" s="42">
        <f>IFERROR(MONTH(emp_db[[#This Row],[Exit Date]]),"")</f>
        <v>1</v>
      </c>
    </row>
    <row r="476" spans="2:22">
      <c r="B476" s="39"/>
      <c r="C476" s="39"/>
      <c r="D476" s="39"/>
      <c r="E476" s="39"/>
      <c r="F476" s="40"/>
      <c r="G476" s="38"/>
      <c r="H476" s="43"/>
      <c r="I476" s="43"/>
      <c r="J476" s="39"/>
      <c r="K476" s="38"/>
      <c r="L476" s="39"/>
      <c r="M476" s="39"/>
      <c r="N476" s="43"/>
      <c r="O476" s="38"/>
      <c r="P476" s="38"/>
      <c r="Q476" s="41" t="str">
        <f ca="1">IF(emp_db[[#This Row],[Exit Date]]&lt;&gt;"",(emp_db[[#This Row],[Exit Date]]-emp_db[[#This Row],[Column1]])/365,IF(emp_db[[#This Row],[ID]]&lt;&gt;"",(TODAY()-emp_db[[#This Row],[Column1]])/365,""))</f>
        <v/>
      </c>
      <c r="R476" s="42" t="str">
        <f ca="1">IF(emp_db[[#This Row],[Date of Birth]]&lt;&gt;"",(TODAY()-emp_db[[#This Row],[Date of Birth]])/365,"")</f>
        <v/>
      </c>
      <c r="S476" s="42">
        <f>YEAR(emp_db[[#This Row],[Column1]])</f>
        <v>1900</v>
      </c>
      <c r="T476" s="42">
        <f>MONTH(emp_db[[#This Row],[Column1]])</f>
        <v>1</v>
      </c>
      <c r="U476" s="42">
        <f>IFERROR(YEAR(emp_db[[#This Row],[Exit Date]]),"")</f>
        <v>1900</v>
      </c>
      <c r="V476" s="42">
        <f>IFERROR(MONTH(emp_db[[#This Row],[Exit Date]]),"")</f>
        <v>1</v>
      </c>
    </row>
    <row r="477" spans="2:22">
      <c r="B477" s="39"/>
      <c r="C477" s="39"/>
      <c r="D477" s="39"/>
      <c r="E477" s="39"/>
      <c r="F477" s="40"/>
      <c r="G477" s="38"/>
      <c r="H477" s="43"/>
      <c r="I477" s="43"/>
      <c r="J477" s="39"/>
      <c r="K477" s="38"/>
      <c r="L477" s="39"/>
      <c r="M477" s="39"/>
      <c r="N477" s="43"/>
      <c r="O477" s="38"/>
      <c r="P477" s="38"/>
      <c r="Q477" s="41" t="str">
        <f ca="1">IF(emp_db[[#This Row],[Exit Date]]&lt;&gt;"",(emp_db[[#This Row],[Exit Date]]-emp_db[[#This Row],[Column1]])/365,IF(emp_db[[#This Row],[ID]]&lt;&gt;"",(TODAY()-emp_db[[#This Row],[Column1]])/365,""))</f>
        <v/>
      </c>
      <c r="R477" s="42" t="str">
        <f ca="1">IF(emp_db[[#This Row],[Date of Birth]]&lt;&gt;"",(TODAY()-emp_db[[#This Row],[Date of Birth]])/365,"")</f>
        <v/>
      </c>
      <c r="S477" s="42">
        <f>YEAR(emp_db[[#This Row],[Column1]])</f>
        <v>1900</v>
      </c>
      <c r="T477" s="42">
        <f>MONTH(emp_db[[#This Row],[Column1]])</f>
        <v>1</v>
      </c>
      <c r="U477" s="42">
        <f>IFERROR(YEAR(emp_db[[#This Row],[Exit Date]]),"")</f>
        <v>1900</v>
      </c>
      <c r="V477" s="42">
        <f>IFERROR(MONTH(emp_db[[#This Row],[Exit Date]]),"")</f>
        <v>1</v>
      </c>
    </row>
    <row r="478" spans="2:22">
      <c r="B478" s="39"/>
      <c r="C478" s="39"/>
      <c r="D478" s="39"/>
      <c r="E478" s="39"/>
      <c r="F478" s="40"/>
      <c r="G478" s="38"/>
      <c r="H478" s="43"/>
      <c r="I478" s="43"/>
      <c r="J478" s="39"/>
      <c r="K478" s="38"/>
      <c r="L478" s="39"/>
      <c r="M478" s="39"/>
      <c r="N478" s="43"/>
      <c r="O478" s="38"/>
      <c r="P478" s="38"/>
      <c r="Q478" s="41" t="str">
        <f ca="1">IF(emp_db[[#This Row],[Exit Date]]&lt;&gt;"",(emp_db[[#This Row],[Exit Date]]-emp_db[[#This Row],[Column1]])/365,IF(emp_db[[#This Row],[ID]]&lt;&gt;"",(TODAY()-emp_db[[#This Row],[Column1]])/365,""))</f>
        <v/>
      </c>
      <c r="R478" s="42" t="str">
        <f ca="1">IF(emp_db[[#This Row],[Date of Birth]]&lt;&gt;"",(TODAY()-emp_db[[#This Row],[Date of Birth]])/365,"")</f>
        <v/>
      </c>
      <c r="S478" s="42">
        <f>YEAR(emp_db[[#This Row],[Column1]])</f>
        <v>1900</v>
      </c>
      <c r="T478" s="42">
        <f>MONTH(emp_db[[#This Row],[Column1]])</f>
        <v>1</v>
      </c>
      <c r="U478" s="42">
        <f>IFERROR(YEAR(emp_db[[#This Row],[Exit Date]]),"")</f>
        <v>1900</v>
      </c>
      <c r="V478" s="42">
        <f>IFERROR(MONTH(emp_db[[#This Row],[Exit Date]]),"")</f>
        <v>1</v>
      </c>
    </row>
    <row r="479" spans="2:22">
      <c r="B479" s="39"/>
      <c r="C479" s="39"/>
      <c r="D479" s="39"/>
      <c r="E479" s="39"/>
      <c r="F479" s="40"/>
      <c r="G479" s="38"/>
      <c r="H479" s="43"/>
      <c r="I479" s="43"/>
      <c r="J479" s="39"/>
      <c r="K479" s="38"/>
      <c r="L479" s="39"/>
      <c r="M479" s="39"/>
      <c r="N479" s="43"/>
      <c r="O479" s="38"/>
      <c r="P479" s="38"/>
      <c r="Q479" s="41" t="str">
        <f ca="1">IF(emp_db[[#This Row],[Exit Date]]&lt;&gt;"",(emp_db[[#This Row],[Exit Date]]-emp_db[[#This Row],[Column1]])/365,IF(emp_db[[#This Row],[ID]]&lt;&gt;"",(TODAY()-emp_db[[#This Row],[Column1]])/365,""))</f>
        <v/>
      </c>
      <c r="R479" s="42" t="str">
        <f ca="1">IF(emp_db[[#This Row],[Date of Birth]]&lt;&gt;"",(TODAY()-emp_db[[#This Row],[Date of Birth]])/365,"")</f>
        <v/>
      </c>
      <c r="S479" s="42">
        <f>YEAR(emp_db[[#This Row],[Column1]])</f>
        <v>1900</v>
      </c>
      <c r="T479" s="42">
        <f>MONTH(emp_db[[#This Row],[Column1]])</f>
        <v>1</v>
      </c>
      <c r="U479" s="42">
        <f>IFERROR(YEAR(emp_db[[#This Row],[Exit Date]]),"")</f>
        <v>1900</v>
      </c>
      <c r="V479" s="42">
        <f>IFERROR(MONTH(emp_db[[#This Row],[Exit Date]]),"")</f>
        <v>1</v>
      </c>
    </row>
    <row r="480" spans="2:22">
      <c r="B480" s="39"/>
      <c r="C480" s="39"/>
      <c r="D480" s="39"/>
      <c r="E480" s="39"/>
      <c r="F480" s="40"/>
      <c r="G480" s="38"/>
      <c r="H480" s="43"/>
      <c r="I480" s="43"/>
      <c r="J480" s="39"/>
      <c r="K480" s="38"/>
      <c r="L480" s="39"/>
      <c r="M480" s="39"/>
      <c r="N480" s="43"/>
      <c r="O480" s="38"/>
      <c r="P480" s="38"/>
      <c r="Q480" s="41" t="str">
        <f ca="1">IF(emp_db[[#This Row],[Exit Date]]&lt;&gt;"",(emp_db[[#This Row],[Exit Date]]-emp_db[[#This Row],[Column1]])/365,IF(emp_db[[#This Row],[ID]]&lt;&gt;"",(TODAY()-emp_db[[#This Row],[Column1]])/365,""))</f>
        <v/>
      </c>
      <c r="R480" s="42" t="str">
        <f ca="1">IF(emp_db[[#This Row],[Date of Birth]]&lt;&gt;"",(TODAY()-emp_db[[#This Row],[Date of Birth]])/365,"")</f>
        <v/>
      </c>
      <c r="S480" s="42">
        <f>YEAR(emp_db[[#This Row],[Column1]])</f>
        <v>1900</v>
      </c>
      <c r="T480" s="42">
        <f>MONTH(emp_db[[#This Row],[Column1]])</f>
        <v>1</v>
      </c>
      <c r="U480" s="42">
        <f>IFERROR(YEAR(emp_db[[#This Row],[Exit Date]]),"")</f>
        <v>1900</v>
      </c>
      <c r="V480" s="42">
        <f>IFERROR(MONTH(emp_db[[#This Row],[Exit Date]]),"")</f>
        <v>1</v>
      </c>
    </row>
    <row r="481" spans="2:22">
      <c r="B481" s="39"/>
      <c r="C481" s="39"/>
      <c r="D481" s="39"/>
      <c r="E481" s="39"/>
      <c r="F481" s="40"/>
      <c r="G481" s="38"/>
      <c r="H481" s="43"/>
      <c r="I481" s="43"/>
      <c r="J481" s="39"/>
      <c r="K481" s="38"/>
      <c r="L481" s="39"/>
      <c r="M481" s="39"/>
      <c r="N481" s="43"/>
      <c r="O481" s="38"/>
      <c r="P481" s="38"/>
      <c r="Q481" s="41" t="str">
        <f ca="1">IF(emp_db[[#This Row],[Exit Date]]&lt;&gt;"",(emp_db[[#This Row],[Exit Date]]-emp_db[[#This Row],[Column1]])/365,IF(emp_db[[#This Row],[ID]]&lt;&gt;"",(TODAY()-emp_db[[#This Row],[Column1]])/365,""))</f>
        <v/>
      </c>
      <c r="R481" s="42" t="str">
        <f ca="1">IF(emp_db[[#This Row],[Date of Birth]]&lt;&gt;"",(TODAY()-emp_db[[#This Row],[Date of Birth]])/365,"")</f>
        <v/>
      </c>
      <c r="S481" s="42">
        <f>YEAR(emp_db[[#This Row],[Column1]])</f>
        <v>1900</v>
      </c>
      <c r="T481" s="42">
        <f>MONTH(emp_db[[#This Row],[Column1]])</f>
        <v>1</v>
      </c>
      <c r="U481" s="42">
        <f>IFERROR(YEAR(emp_db[[#This Row],[Exit Date]]),"")</f>
        <v>1900</v>
      </c>
      <c r="V481" s="42">
        <f>IFERROR(MONTH(emp_db[[#This Row],[Exit Date]]),"")</f>
        <v>1</v>
      </c>
    </row>
    <row r="482" spans="2:22">
      <c r="B482" s="39"/>
      <c r="C482" s="39"/>
      <c r="D482" s="39"/>
      <c r="E482" s="39"/>
      <c r="F482" s="40"/>
      <c r="G482" s="38"/>
      <c r="H482" s="43"/>
      <c r="I482" s="43"/>
      <c r="J482" s="39"/>
      <c r="K482" s="38"/>
      <c r="L482" s="39"/>
      <c r="M482" s="39"/>
      <c r="N482" s="43"/>
      <c r="O482" s="38"/>
      <c r="P482" s="38"/>
      <c r="Q482" s="41" t="str">
        <f ca="1">IF(emp_db[[#This Row],[Exit Date]]&lt;&gt;"",(emp_db[[#This Row],[Exit Date]]-emp_db[[#This Row],[Column1]])/365,IF(emp_db[[#This Row],[ID]]&lt;&gt;"",(TODAY()-emp_db[[#This Row],[Column1]])/365,""))</f>
        <v/>
      </c>
      <c r="R482" s="42" t="str">
        <f ca="1">IF(emp_db[[#This Row],[Date of Birth]]&lt;&gt;"",(TODAY()-emp_db[[#This Row],[Date of Birth]])/365,"")</f>
        <v/>
      </c>
      <c r="S482" s="42">
        <f>YEAR(emp_db[[#This Row],[Column1]])</f>
        <v>1900</v>
      </c>
      <c r="T482" s="42">
        <f>MONTH(emp_db[[#This Row],[Column1]])</f>
        <v>1</v>
      </c>
      <c r="U482" s="42">
        <f>IFERROR(YEAR(emp_db[[#This Row],[Exit Date]]),"")</f>
        <v>1900</v>
      </c>
      <c r="V482" s="42">
        <f>IFERROR(MONTH(emp_db[[#This Row],[Exit Date]]),"")</f>
        <v>1</v>
      </c>
    </row>
    <row r="483" spans="2:22">
      <c r="B483" s="39"/>
      <c r="C483" s="39"/>
      <c r="D483" s="39"/>
      <c r="E483" s="39"/>
      <c r="F483" s="40"/>
      <c r="G483" s="38"/>
      <c r="H483" s="43"/>
      <c r="I483" s="43"/>
      <c r="J483" s="39"/>
      <c r="K483" s="38"/>
      <c r="L483" s="39"/>
      <c r="M483" s="39"/>
      <c r="N483" s="43"/>
      <c r="O483" s="38"/>
      <c r="P483" s="38"/>
      <c r="Q483" s="41" t="str">
        <f ca="1">IF(emp_db[[#This Row],[Exit Date]]&lt;&gt;"",(emp_db[[#This Row],[Exit Date]]-emp_db[[#This Row],[Column1]])/365,IF(emp_db[[#This Row],[ID]]&lt;&gt;"",(TODAY()-emp_db[[#This Row],[Column1]])/365,""))</f>
        <v/>
      </c>
      <c r="R483" s="42" t="str">
        <f ca="1">IF(emp_db[[#This Row],[Date of Birth]]&lt;&gt;"",(TODAY()-emp_db[[#This Row],[Date of Birth]])/365,"")</f>
        <v/>
      </c>
      <c r="S483" s="42">
        <f>YEAR(emp_db[[#This Row],[Column1]])</f>
        <v>1900</v>
      </c>
      <c r="T483" s="42">
        <f>MONTH(emp_db[[#This Row],[Column1]])</f>
        <v>1</v>
      </c>
      <c r="U483" s="42">
        <f>IFERROR(YEAR(emp_db[[#This Row],[Exit Date]]),"")</f>
        <v>1900</v>
      </c>
      <c r="V483" s="42">
        <f>IFERROR(MONTH(emp_db[[#This Row],[Exit Date]]),"")</f>
        <v>1</v>
      </c>
    </row>
    <row r="484" spans="2:22">
      <c r="B484" s="39"/>
      <c r="C484" s="39"/>
      <c r="D484" s="39"/>
      <c r="E484" s="39"/>
      <c r="F484" s="40"/>
      <c r="G484" s="38"/>
      <c r="H484" s="43"/>
      <c r="I484" s="43"/>
      <c r="J484" s="39"/>
      <c r="K484" s="38"/>
      <c r="L484" s="39"/>
      <c r="M484" s="39"/>
      <c r="N484" s="43"/>
      <c r="O484" s="38"/>
      <c r="P484" s="38"/>
      <c r="Q484" s="41" t="str">
        <f ca="1">IF(emp_db[[#This Row],[Exit Date]]&lt;&gt;"",(emp_db[[#This Row],[Exit Date]]-emp_db[[#This Row],[Column1]])/365,IF(emp_db[[#This Row],[ID]]&lt;&gt;"",(TODAY()-emp_db[[#This Row],[Column1]])/365,""))</f>
        <v/>
      </c>
      <c r="R484" s="42" t="str">
        <f ca="1">IF(emp_db[[#This Row],[Date of Birth]]&lt;&gt;"",(TODAY()-emp_db[[#This Row],[Date of Birth]])/365,"")</f>
        <v/>
      </c>
      <c r="S484" s="42">
        <f>YEAR(emp_db[[#This Row],[Column1]])</f>
        <v>1900</v>
      </c>
      <c r="T484" s="42">
        <f>MONTH(emp_db[[#This Row],[Column1]])</f>
        <v>1</v>
      </c>
      <c r="U484" s="42">
        <f>IFERROR(YEAR(emp_db[[#This Row],[Exit Date]]),"")</f>
        <v>1900</v>
      </c>
      <c r="V484" s="42">
        <f>IFERROR(MONTH(emp_db[[#This Row],[Exit Date]]),"")</f>
        <v>1</v>
      </c>
    </row>
    <row r="485" spans="2:22">
      <c r="B485" s="39"/>
      <c r="C485" s="39"/>
      <c r="D485" s="39"/>
      <c r="E485" s="39"/>
      <c r="F485" s="40"/>
      <c r="G485" s="38"/>
      <c r="H485" s="43"/>
      <c r="I485" s="43"/>
      <c r="J485" s="39"/>
      <c r="K485" s="38"/>
      <c r="L485" s="39"/>
      <c r="M485" s="39"/>
      <c r="N485" s="43"/>
      <c r="O485" s="38"/>
      <c r="P485" s="38"/>
      <c r="Q485" s="41" t="str">
        <f ca="1">IF(emp_db[[#This Row],[Exit Date]]&lt;&gt;"",(emp_db[[#This Row],[Exit Date]]-emp_db[[#This Row],[Column1]])/365,IF(emp_db[[#This Row],[ID]]&lt;&gt;"",(TODAY()-emp_db[[#This Row],[Column1]])/365,""))</f>
        <v/>
      </c>
      <c r="R485" s="42" t="str">
        <f ca="1">IF(emp_db[[#This Row],[Date of Birth]]&lt;&gt;"",(TODAY()-emp_db[[#This Row],[Date of Birth]])/365,"")</f>
        <v/>
      </c>
      <c r="S485" s="42">
        <f>YEAR(emp_db[[#This Row],[Column1]])</f>
        <v>1900</v>
      </c>
      <c r="T485" s="42">
        <f>MONTH(emp_db[[#This Row],[Column1]])</f>
        <v>1</v>
      </c>
      <c r="U485" s="42">
        <f>IFERROR(YEAR(emp_db[[#This Row],[Exit Date]]),"")</f>
        <v>1900</v>
      </c>
      <c r="V485" s="42">
        <f>IFERROR(MONTH(emp_db[[#This Row],[Exit Date]]),"")</f>
        <v>1</v>
      </c>
    </row>
    <row r="486" spans="2:22">
      <c r="B486" s="39"/>
      <c r="C486" s="39"/>
      <c r="D486" s="39"/>
      <c r="E486" s="39"/>
      <c r="F486" s="40"/>
      <c r="G486" s="38"/>
      <c r="H486" s="43"/>
      <c r="I486" s="43"/>
      <c r="J486" s="39"/>
      <c r="K486" s="38"/>
      <c r="L486" s="39"/>
      <c r="M486" s="39"/>
      <c r="N486" s="43"/>
      <c r="O486" s="38"/>
      <c r="P486" s="38"/>
      <c r="Q486" s="41" t="str">
        <f ca="1">IF(emp_db[[#This Row],[Exit Date]]&lt;&gt;"",(emp_db[[#This Row],[Exit Date]]-emp_db[[#This Row],[Column1]])/365,IF(emp_db[[#This Row],[ID]]&lt;&gt;"",(TODAY()-emp_db[[#This Row],[Column1]])/365,""))</f>
        <v/>
      </c>
      <c r="R486" s="42" t="str">
        <f ca="1">IF(emp_db[[#This Row],[Date of Birth]]&lt;&gt;"",(TODAY()-emp_db[[#This Row],[Date of Birth]])/365,"")</f>
        <v/>
      </c>
      <c r="S486" s="42">
        <f>YEAR(emp_db[[#This Row],[Column1]])</f>
        <v>1900</v>
      </c>
      <c r="T486" s="42">
        <f>MONTH(emp_db[[#This Row],[Column1]])</f>
        <v>1</v>
      </c>
      <c r="U486" s="42">
        <f>IFERROR(YEAR(emp_db[[#This Row],[Exit Date]]),"")</f>
        <v>1900</v>
      </c>
      <c r="V486" s="42">
        <f>IFERROR(MONTH(emp_db[[#This Row],[Exit Date]]),"")</f>
        <v>1</v>
      </c>
    </row>
    <row r="487" spans="2:22">
      <c r="B487" s="39"/>
      <c r="C487" s="39"/>
      <c r="D487" s="39"/>
      <c r="E487" s="39"/>
      <c r="F487" s="40"/>
      <c r="G487" s="38"/>
      <c r="H487" s="43"/>
      <c r="I487" s="43"/>
      <c r="J487" s="39"/>
      <c r="K487" s="38"/>
      <c r="L487" s="39"/>
      <c r="M487" s="39"/>
      <c r="N487" s="43"/>
      <c r="O487" s="38"/>
      <c r="P487" s="38"/>
      <c r="Q487" s="41" t="str">
        <f ca="1">IF(emp_db[[#This Row],[Exit Date]]&lt;&gt;"",(emp_db[[#This Row],[Exit Date]]-emp_db[[#This Row],[Column1]])/365,IF(emp_db[[#This Row],[ID]]&lt;&gt;"",(TODAY()-emp_db[[#This Row],[Column1]])/365,""))</f>
        <v/>
      </c>
      <c r="R487" s="42" t="str">
        <f ca="1">IF(emp_db[[#This Row],[Date of Birth]]&lt;&gt;"",(TODAY()-emp_db[[#This Row],[Date of Birth]])/365,"")</f>
        <v/>
      </c>
      <c r="S487" s="42">
        <f>YEAR(emp_db[[#This Row],[Column1]])</f>
        <v>1900</v>
      </c>
      <c r="T487" s="42">
        <f>MONTH(emp_db[[#This Row],[Column1]])</f>
        <v>1</v>
      </c>
      <c r="U487" s="42">
        <f>IFERROR(YEAR(emp_db[[#This Row],[Exit Date]]),"")</f>
        <v>1900</v>
      </c>
      <c r="V487" s="42">
        <f>IFERROR(MONTH(emp_db[[#This Row],[Exit Date]]),"")</f>
        <v>1</v>
      </c>
    </row>
    <row r="488" spans="2:22">
      <c r="B488" s="39"/>
      <c r="C488" s="39"/>
      <c r="D488" s="39"/>
      <c r="E488" s="39"/>
      <c r="F488" s="40"/>
      <c r="G488" s="38"/>
      <c r="H488" s="43"/>
      <c r="I488" s="43"/>
      <c r="J488" s="39"/>
      <c r="K488" s="38"/>
      <c r="L488" s="39"/>
      <c r="M488" s="39"/>
      <c r="N488" s="43"/>
      <c r="O488" s="38"/>
      <c r="P488" s="38"/>
      <c r="Q488" s="41" t="str">
        <f ca="1">IF(emp_db[[#This Row],[Exit Date]]&lt;&gt;"",(emp_db[[#This Row],[Exit Date]]-emp_db[[#This Row],[Column1]])/365,IF(emp_db[[#This Row],[ID]]&lt;&gt;"",(TODAY()-emp_db[[#This Row],[Column1]])/365,""))</f>
        <v/>
      </c>
      <c r="R488" s="42" t="str">
        <f ca="1">IF(emp_db[[#This Row],[Date of Birth]]&lt;&gt;"",(TODAY()-emp_db[[#This Row],[Date of Birth]])/365,"")</f>
        <v/>
      </c>
      <c r="S488" s="42">
        <f>YEAR(emp_db[[#This Row],[Column1]])</f>
        <v>1900</v>
      </c>
      <c r="T488" s="42">
        <f>MONTH(emp_db[[#This Row],[Column1]])</f>
        <v>1</v>
      </c>
      <c r="U488" s="42">
        <f>IFERROR(YEAR(emp_db[[#This Row],[Exit Date]]),"")</f>
        <v>1900</v>
      </c>
      <c r="V488" s="42">
        <f>IFERROR(MONTH(emp_db[[#This Row],[Exit Date]]),"")</f>
        <v>1</v>
      </c>
    </row>
    <row r="489" spans="2:22">
      <c r="B489" s="39"/>
      <c r="C489" s="39"/>
      <c r="D489" s="39"/>
      <c r="E489" s="39"/>
      <c r="F489" s="40"/>
      <c r="G489" s="38"/>
      <c r="H489" s="43"/>
      <c r="I489" s="43"/>
      <c r="J489" s="39"/>
      <c r="K489" s="38"/>
      <c r="L489" s="39"/>
      <c r="M489" s="39"/>
      <c r="N489" s="43"/>
      <c r="O489" s="38"/>
      <c r="P489" s="38"/>
      <c r="Q489" s="41" t="str">
        <f ca="1">IF(emp_db[[#This Row],[Exit Date]]&lt;&gt;"",(emp_db[[#This Row],[Exit Date]]-emp_db[[#This Row],[Column1]])/365,IF(emp_db[[#This Row],[ID]]&lt;&gt;"",(TODAY()-emp_db[[#This Row],[Column1]])/365,""))</f>
        <v/>
      </c>
      <c r="R489" s="42" t="str">
        <f ca="1">IF(emp_db[[#This Row],[Date of Birth]]&lt;&gt;"",(TODAY()-emp_db[[#This Row],[Date of Birth]])/365,"")</f>
        <v/>
      </c>
      <c r="S489" s="42">
        <f>YEAR(emp_db[[#This Row],[Column1]])</f>
        <v>1900</v>
      </c>
      <c r="T489" s="42">
        <f>MONTH(emp_db[[#This Row],[Column1]])</f>
        <v>1</v>
      </c>
      <c r="U489" s="42">
        <f>IFERROR(YEAR(emp_db[[#This Row],[Exit Date]]),"")</f>
        <v>1900</v>
      </c>
      <c r="V489" s="42">
        <f>IFERROR(MONTH(emp_db[[#This Row],[Exit Date]]),"")</f>
        <v>1</v>
      </c>
    </row>
    <row r="490" spans="2:22">
      <c r="B490" s="39"/>
      <c r="C490" s="39"/>
      <c r="D490" s="39"/>
      <c r="E490" s="39"/>
      <c r="F490" s="40"/>
      <c r="G490" s="38"/>
      <c r="H490" s="43"/>
      <c r="I490" s="43"/>
      <c r="J490" s="39"/>
      <c r="K490" s="38"/>
      <c r="L490" s="39"/>
      <c r="M490" s="39"/>
      <c r="N490" s="43"/>
      <c r="O490" s="38"/>
      <c r="P490" s="38"/>
      <c r="Q490" s="41" t="str">
        <f ca="1">IF(emp_db[[#This Row],[Exit Date]]&lt;&gt;"",(emp_db[[#This Row],[Exit Date]]-emp_db[[#This Row],[Column1]])/365,IF(emp_db[[#This Row],[ID]]&lt;&gt;"",(TODAY()-emp_db[[#This Row],[Column1]])/365,""))</f>
        <v/>
      </c>
      <c r="R490" s="42" t="str">
        <f ca="1">IF(emp_db[[#This Row],[Date of Birth]]&lt;&gt;"",(TODAY()-emp_db[[#This Row],[Date of Birth]])/365,"")</f>
        <v/>
      </c>
      <c r="S490" s="42">
        <f>YEAR(emp_db[[#This Row],[Column1]])</f>
        <v>1900</v>
      </c>
      <c r="T490" s="42">
        <f>MONTH(emp_db[[#This Row],[Column1]])</f>
        <v>1</v>
      </c>
      <c r="U490" s="42">
        <f>IFERROR(YEAR(emp_db[[#This Row],[Exit Date]]),"")</f>
        <v>1900</v>
      </c>
      <c r="V490" s="42">
        <f>IFERROR(MONTH(emp_db[[#This Row],[Exit Date]]),"")</f>
        <v>1</v>
      </c>
    </row>
    <row r="491" spans="2:22">
      <c r="B491" s="39"/>
      <c r="C491" s="39"/>
      <c r="D491" s="39"/>
      <c r="E491" s="39"/>
      <c r="F491" s="40"/>
      <c r="G491" s="38"/>
      <c r="H491" s="43"/>
      <c r="I491" s="43"/>
      <c r="J491" s="39"/>
      <c r="K491" s="38"/>
      <c r="L491" s="39"/>
      <c r="M491" s="39"/>
      <c r="N491" s="43"/>
      <c r="O491" s="38"/>
      <c r="P491" s="38"/>
      <c r="Q491" s="41" t="str">
        <f ca="1">IF(emp_db[[#This Row],[Exit Date]]&lt;&gt;"",(emp_db[[#This Row],[Exit Date]]-emp_db[[#This Row],[Column1]])/365,IF(emp_db[[#This Row],[ID]]&lt;&gt;"",(TODAY()-emp_db[[#This Row],[Column1]])/365,""))</f>
        <v/>
      </c>
      <c r="R491" s="42" t="str">
        <f ca="1">IF(emp_db[[#This Row],[Date of Birth]]&lt;&gt;"",(TODAY()-emp_db[[#This Row],[Date of Birth]])/365,"")</f>
        <v/>
      </c>
      <c r="S491" s="42">
        <f>YEAR(emp_db[[#This Row],[Column1]])</f>
        <v>1900</v>
      </c>
      <c r="T491" s="42">
        <f>MONTH(emp_db[[#This Row],[Column1]])</f>
        <v>1</v>
      </c>
      <c r="U491" s="42">
        <f>IFERROR(YEAR(emp_db[[#This Row],[Exit Date]]),"")</f>
        <v>1900</v>
      </c>
      <c r="V491" s="42">
        <f>IFERROR(MONTH(emp_db[[#This Row],[Exit Date]]),"")</f>
        <v>1</v>
      </c>
    </row>
    <row r="492" spans="2:22">
      <c r="B492" s="39"/>
      <c r="C492" s="39"/>
      <c r="D492" s="39"/>
      <c r="E492" s="39"/>
      <c r="F492" s="40"/>
      <c r="G492" s="38"/>
      <c r="H492" s="43"/>
      <c r="I492" s="43"/>
      <c r="J492" s="39"/>
      <c r="K492" s="38"/>
      <c r="L492" s="39"/>
      <c r="M492" s="39"/>
      <c r="N492" s="43"/>
      <c r="O492" s="38"/>
      <c r="P492" s="38"/>
      <c r="Q492" s="41" t="str">
        <f ca="1">IF(emp_db[[#This Row],[Exit Date]]&lt;&gt;"",(emp_db[[#This Row],[Exit Date]]-emp_db[[#This Row],[Column1]])/365,IF(emp_db[[#This Row],[ID]]&lt;&gt;"",(TODAY()-emp_db[[#This Row],[Column1]])/365,""))</f>
        <v/>
      </c>
      <c r="R492" s="42" t="str">
        <f ca="1">IF(emp_db[[#This Row],[Date of Birth]]&lt;&gt;"",(TODAY()-emp_db[[#This Row],[Date of Birth]])/365,"")</f>
        <v/>
      </c>
      <c r="S492" s="42">
        <f>YEAR(emp_db[[#This Row],[Column1]])</f>
        <v>1900</v>
      </c>
      <c r="T492" s="42">
        <f>MONTH(emp_db[[#This Row],[Column1]])</f>
        <v>1</v>
      </c>
      <c r="U492" s="42">
        <f>IFERROR(YEAR(emp_db[[#This Row],[Exit Date]]),"")</f>
        <v>1900</v>
      </c>
      <c r="V492" s="42">
        <f>IFERROR(MONTH(emp_db[[#This Row],[Exit Date]]),"")</f>
        <v>1</v>
      </c>
    </row>
    <row r="493" spans="2:22">
      <c r="B493" s="39"/>
      <c r="C493" s="39"/>
      <c r="D493" s="39"/>
      <c r="E493" s="39"/>
      <c r="F493" s="40"/>
      <c r="G493" s="38"/>
      <c r="H493" s="43"/>
      <c r="I493" s="43"/>
      <c r="J493" s="39"/>
      <c r="K493" s="38"/>
      <c r="L493" s="39"/>
      <c r="M493" s="39"/>
      <c r="N493" s="43"/>
      <c r="O493" s="38"/>
      <c r="P493" s="38"/>
      <c r="Q493" s="41" t="str">
        <f ca="1">IF(emp_db[[#This Row],[Exit Date]]&lt;&gt;"",(emp_db[[#This Row],[Exit Date]]-emp_db[[#This Row],[Column1]])/365,IF(emp_db[[#This Row],[ID]]&lt;&gt;"",(TODAY()-emp_db[[#This Row],[Column1]])/365,""))</f>
        <v/>
      </c>
      <c r="R493" s="42" t="str">
        <f ca="1">IF(emp_db[[#This Row],[Date of Birth]]&lt;&gt;"",(TODAY()-emp_db[[#This Row],[Date of Birth]])/365,"")</f>
        <v/>
      </c>
      <c r="S493" s="42">
        <f>YEAR(emp_db[[#This Row],[Column1]])</f>
        <v>1900</v>
      </c>
      <c r="T493" s="42">
        <f>MONTH(emp_db[[#This Row],[Column1]])</f>
        <v>1</v>
      </c>
      <c r="U493" s="42">
        <f>IFERROR(YEAR(emp_db[[#This Row],[Exit Date]]),"")</f>
        <v>1900</v>
      </c>
      <c r="V493" s="42">
        <f>IFERROR(MONTH(emp_db[[#This Row],[Exit Date]]),"")</f>
        <v>1</v>
      </c>
    </row>
    <row r="494" spans="2:22">
      <c r="B494" s="39"/>
      <c r="C494" s="39"/>
      <c r="D494" s="39"/>
      <c r="E494" s="39"/>
      <c r="F494" s="40"/>
      <c r="G494" s="38"/>
      <c r="H494" s="43"/>
      <c r="I494" s="43"/>
      <c r="J494" s="39"/>
      <c r="K494" s="38"/>
      <c r="L494" s="39"/>
      <c r="M494" s="39"/>
      <c r="N494" s="43"/>
      <c r="O494" s="38"/>
      <c r="P494" s="38"/>
      <c r="Q494" s="41" t="str">
        <f ca="1">IF(emp_db[[#This Row],[Exit Date]]&lt;&gt;"",(emp_db[[#This Row],[Exit Date]]-emp_db[[#This Row],[Column1]])/365,IF(emp_db[[#This Row],[ID]]&lt;&gt;"",(TODAY()-emp_db[[#This Row],[Column1]])/365,""))</f>
        <v/>
      </c>
      <c r="R494" s="42" t="str">
        <f ca="1">IF(emp_db[[#This Row],[Date of Birth]]&lt;&gt;"",(TODAY()-emp_db[[#This Row],[Date of Birth]])/365,"")</f>
        <v/>
      </c>
      <c r="S494" s="42">
        <f>YEAR(emp_db[[#This Row],[Column1]])</f>
        <v>1900</v>
      </c>
      <c r="T494" s="42">
        <f>MONTH(emp_db[[#This Row],[Column1]])</f>
        <v>1</v>
      </c>
      <c r="U494" s="42">
        <f>IFERROR(YEAR(emp_db[[#This Row],[Exit Date]]),"")</f>
        <v>1900</v>
      </c>
      <c r="V494" s="42">
        <f>IFERROR(MONTH(emp_db[[#This Row],[Exit Date]]),"")</f>
        <v>1</v>
      </c>
    </row>
    <row r="495" spans="2:22">
      <c r="B495" s="39"/>
      <c r="C495" s="39"/>
      <c r="D495" s="39"/>
      <c r="E495" s="39"/>
      <c r="F495" s="40"/>
      <c r="G495" s="38"/>
      <c r="H495" s="43"/>
      <c r="I495" s="43"/>
      <c r="J495" s="39"/>
      <c r="K495" s="38"/>
      <c r="L495" s="39"/>
      <c r="M495" s="39"/>
      <c r="N495" s="43"/>
      <c r="O495" s="38"/>
      <c r="P495" s="38"/>
      <c r="Q495" s="41" t="str">
        <f ca="1">IF(emp_db[[#This Row],[Exit Date]]&lt;&gt;"",(emp_db[[#This Row],[Exit Date]]-emp_db[[#This Row],[Column1]])/365,IF(emp_db[[#This Row],[ID]]&lt;&gt;"",(TODAY()-emp_db[[#This Row],[Column1]])/365,""))</f>
        <v/>
      </c>
      <c r="R495" s="42" t="str">
        <f ca="1">IF(emp_db[[#This Row],[Date of Birth]]&lt;&gt;"",(TODAY()-emp_db[[#This Row],[Date of Birth]])/365,"")</f>
        <v/>
      </c>
      <c r="S495" s="42">
        <f>YEAR(emp_db[[#This Row],[Column1]])</f>
        <v>1900</v>
      </c>
      <c r="T495" s="42">
        <f>MONTH(emp_db[[#This Row],[Column1]])</f>
        <v>1</v>
      </c>
      <c r="U495" s="42">
        <f>IFERROR(YEAR(emp_db[[#This Row],[Exit Date]]),"")</f>
        <v>1900</v>
      </c>
      <c r="V495" s="42">
        <f>IFERROR(MONTH(emp_db[[#This Row],[Exit Date]]),"")</f>
        <v>1</v>
      </c>
    </row>
    <row r="496" spans="2:22">
      <c r="B496" s="39"/>
      <c r="C496" s="39"/>
      <c r="D496" s="39"/>
      <c r="E496" s="39"/>
      <c r="F496" s="40"/>
      <c r="G496" s="38"/>
      <c r="H496" s="43"/>
      <c r="I496" s="43"/>
      <c r="J496" s="39"/>
      <c r="K496" s="38"/>
      <c r="L496" s="39"/>
      <c r="M496" s="39"/>
      <c r="N496" s="43"/>
      <c r="O496" s="38"/>
      <c r="P496" s="38"/>
      <c r="Q496" s="41" t="str">
        <f ca="1">IF(emp_db[[#This Row],[Exit Date]]&lt;&gt;"",(emp_db[[#This Row],[Exit Date]]-emp_db[[#This Row],[Column1]])/365,IF(emp_db[[#This Row],[ID]]&lt;&gt;"",(TODAY()-emp_db[[#This Row],[Column1]])/365,""))</f>
        <v/>
      </c>
      <c r="R496" s="42" t="str">
        <f ca="1">IF(emp_db[[#This Row],[Date of Birth]]&lt;&gt;"",(TODAY()-emp_db[[#This Row],[Date of Birth]])/365,"")</f>
        <v/>
      </c>
      <c r="S496" s="42">
        <f>YEAR(emp_db[[#This Row],[Column1]])</f>
        <v>1900</v>
      </c>
      <c r="T496" s="42">
        <f>MONTH(emp_db[[#This Row],[Column1]])</f>
        <v>1</v>
      </c>
      <c r="U496" s="42">
        <f>IFERROR(YEAR(emp_db[[#This Row],[Exit Date]]),"")</f>
        <v>1900</v>
      </c>
      <c r="V496" s="42">
        <f>IFERROR(MONTH(emp_db[[#This Row],[Exit Date]]),"")</f>
        <v>1</v>
      </c>
    </row>
    <row r="497" spans="2:22">
      <c r="B497" s="39"/>
      <c r="C497" s="39"/>
      <c r="D497" s="39"/>
      <c r="E497" s="39"/>
      <c r="F497" s="40"/>
      <c r="G497" s="38"/>
      <c r="H497" s="43"/>
      <c r="I497" s="43"/>
      <c r="J497" s="39"/>
      <c r="K497" s="38"/>
      <c r="L497" s="39"/>
      <c r="M497" s="39"/>
      <c r="N497" s="43"/>
      <c r="O497" s="38"/>
      <c r="P497" s="38"/>
      <c r="Q497" s="41" t="str">
        <f ca="1">IF(emp_db[[#This Row],[Exit Date]]&lt;&gt;"",(emp_db[[#This Row],[Exit Date]]-emp_db[[#This Row],[Column1]])/365,IF(emp_db[[#This Row],[ID]]&lt;&gt;"",(TODAY()-emp_db[[#This Row],[Column1]])/365,""))</f>
        <v/>
      </c>
      <c r="R497" s="42" t="str">
        <f ca="1">IF(emp_db[[#This Row],[Date of Birth]]&lt;&gt;"",(TODAY()-emp_db[[#This Row],[Date of Birth]])/365,"")</f>
        <v/>
      </c>
      <c r="S497" s="42">
        <f>YEAR(emp_db[[#This Row],[Column1]])</f>
        <v>1900</v>
      </c>
      <c r="T497" s="42">
        <f>MONTH(emp_db[[#This Row],[Column1]])</f>
        <v>1</v>
      </c>
      <c r="U497" s="42">
        <f>IFERROR(YEAR(emp_db[[#This Row],[Exit Date]]),"")</f>
        <v>1900</v>
      </c>
      <c r="V497" s="42">
        <f>IFERROR(MONTH(emp_db[[#This Row],[Exit Date]]),"")</f>
        <v>1</v>
      </c>
    </row>
    <row r="498" spans="2:22">
      <c r="B498" s="39"/>
      <c r="C498" s="39"/>
      <c r="D498" s="39"/>
      <c r="E498" s="39"/>
      <c r="F498" s="40"/>
      <c r="G498" s="38"/>
      <c r="H498" s="43"/>
      <c r="I498" s="43"/>
      <c r="J498" s="39"/>
      <c r="K498" s="38"/>
      <c r="L498" s="39"/>
      <c r="M498" s="39"/>
      <c r="N498" s="43"/>
      <c r="O498" s="38"/>
      <c r="P498" s="38"/>
      <c r="Q498" s="41" t="str">
        <f ca="1">IF(emp_db[[#This Row],[Exit Date]]&lt;&gt;"",(emp_db[[#This Row],[Exit Date]]-emp_db[[#This Row],[Column1]])/365,IF(emp_db[[#This Row],[ID]]&lt;&gt;"",(TODAY()-emp_db[[#This Row],[Column1]])/365,""))</f>
        <v/>
      </c>
      <c r="R498" s="42" t="str">
        <f ca="1">IF(emp_db[[#This Row],[Date of Birth]]&lt;&gt;"",(TODAY()-emp_db[[#This Row],[Date of Birth]])/365,"")</f>
        <v/>
      </c>
      <c r="S498" s="42">
        <f>YEAR(emp_db[[#This Row],[Column1]])</f>
        <v>1900</v>
      </c>
      <c r="T498" s="42">
        <f>MONTH(emp_db[[#This Row],[Column1]])</f>
        <v>1</v>
      </c>
      <c r="U498" s="42">
        <f>IFERROR(YEAR(emp_db[[#This Row],[Exit Date]]),"")</f>
        <v>1900</v>
      </c>
      <c r="V498" s="42">
        <f>IFERROR(MONTH(emp_db[[#This Row],[Exit Date]]),"")</f>
        <v>1</v>
      </c>
    </row>
    <row r="499" spans="2:22">
      <c r="B499" s="39"/>
      <c r="C499" s="39"/>
      <c r="D499" s="39"/>
      <c r="E499" s="39"/>
      <c r="F499" s="40"/>
      <c r="G499" s="38"/>
      <c r="H499" s="43"/>
      <c r="I499" s="43"/>
      <c r="J499" s="39"/>
      <c r="K499" s="38"/>
      <c r="L499" s="39"/>
      <c r="M499" s="39"/>
      <c r="N499" s="43"/>
      <c r="O499" s="38"/>
      <c r="P499" s="38"/>
      <c r="Q499" s="41" t="str">
        <f ca="1">IF(emp_db[[#This Row],[Exit Date]]&lt;&gt;"",(emp_db[[#This Row],[Exit Date]]-emp_db[[#This Row],[Column1]])/365,IF(emp_db[[#This Row],[ID]]&lt;&gt;"",(TODAY()-emp_db[[#This Row],[Column1]])/365,""))</f>
        <v/>
      </c>
      <c r="R499" s="42" t="str">
        <f ca="1">IF(emp_db[[#This Row],[Date of Birth]]&lt;&gt;"",(TODAY()-emp_db[[#This Row],[Date of Birth]])/365,"")</f>
        <v/>
      </c>
      <c r="S499" s="42">
        <f>YEAR(emp_db[[#This Row],[Column1]])</f>
        <v>1900</v>
      </c>
      <c r="T499" s="42">
        <f>MONTH(emp_db[[#This Row],[Column1]])</f>
        <v>1</v>
      </c>
      <c r="U499" s="42">
        <f>IFERROR(YEAR(emp_db[[#This Row],[Exit Date]]),"")</f>
        <v>1900</v>
      </c>
      <c r="V499" s="42">
        <f>IFERROR(MONTH(emp_db[[#This Row],[Exit Date]]),"")</f>
        <v>1</v>
      </c>
    </row>
    <row r="500" spans="2:22">
      <c r="B500" s="39"/>
      <c r="C500" s="39"/>
      <c r="D500" s="39"/>
      <c r="E500" s="39"/>
      <c r="F500" s="40"/>
      <c r="G500" s="38"/>
      <c r="H500" s="43"/>
      <c r="I500" s="43"/>
      <c r="J500" s="39"/>
      <c r="K500" s="38"/>
      <c r="L500" s="39"/>
      <c r="M500" s="39"/>
      <c r="N500" s="43"/>
      <c r="O500" s="38"/>
      <c r="P500" s="38"/>
      <c r="Q500" s="41" t="str">
        <f ca="1">IF(emp_db[[#This Row],[Exit Date]]&lt;&gt;"",(emp_db[[#This Row],[Exit Date]]-emp_db[[#This Row],[Column1]])/365,IF(emp_db[[#This Row],[ID]]&lt;&gt;"",(TODAY()-emp_db[[#This Row],[Column1]])/365,""))</f>
        <v/>
      </c>
      <c r="R500" s="42" t="str">
        <f ca="1">IF(emp_db[[#This Row],[Date of Birth]]&lt;&gt;"",(TODAY()-emp_db[[#This Row],[Date of Birth]])/365,"")</f>
        <v/>
      </c>
      <c r="S500" s="42">
        <f>YEAR(emp_db[[#This Row],[Column1]])</f>
        <v>1900</v>
      </c>
      <c r="T500" s="42">
        <f>MONTH(emp_db[[#This Row],[Column1]])</f>
        <v>1</v>
      </c>
      <c r="U500" s="42">
        <f>IFERROR(YEAR(emp_db[[#This Row],[Exit Date]]),"")</f>
        <v>1900</v>
      </c>
      <c r="V500" s="42">
        <f>IFERROR(MONTH(emp_db[[#This Row],[Exit Date]]),"")</f>
        <v>1</v>
      </c>
    </row>
    <row r="501" spans="2:22">
      <c r="B501" s="39"/>
      <c r="C501" s="39"/>
      <c r="D501" s="39"/>
      <c r="E501" s="39"/>
      <c r="F501" s="40"/>
      <c r="G501" s="38"/>
      <c r="H501" s="43"/>
      <c r="I501" s="43"/>
      <c r="J501" s="39"/>
      <c r="K501" s="38"/>
      <c r="L501" s="39"/>
      <c r="M501" s="39"/>
      <c r="N501" s="43"/>
      <c r="O501" s="38"/>
      <c r="P501" s="38"/>
      <c r="Q501" s="41" t="str">
        <f ca="1">IF(emp_db[[#This Row],[Exit Date]]&lt;&gt;"",(emp_db[[#This Row],[Exit Date]]-emp_db[[#This Row],[Column1]])/365,IF(emp_db[[#This Row],[ID]]&lt;&gt;"",(TODAY()-emp_db[[#This Row],[Column1]])/365,""))</f>
        <v/>
      </c>
      <c r="R501" s="42" t="str">
        <f ca="1">IF(emp_db[[#This Row],[Date of Birth]]&lt;&gt;"",(TODAY()-emp_db[[#This Row],[Date of Birth]])/365,"")</f>
        <v/>
      </c>
      <c r="S501" s="42">
        <f>YEAR(emp_db[[#This Row],[Column1]])</f>
        <v>1900</v>
      </c>
      <c r="T501" s="42">
        <f>MONTH(emp_db[[#This Row],[Column1]])</f>
        <v>1</v>
      </c>
      <c r="U501" s="42">
        <f>IFERROR(YEAR(emp_db[[#This Row],[Exit Date]]),"")</f>
        <v>1900</v>
      </c>
      <c r="V501" s="42">
        <f>IFERROR(MONTH(emp_db[[#This Row],[Exit Date]]),"")</f>
        <v>1</v>
      </c>
    </row>
    <row r="502" spans="2:22">
      <c r="B502" s="39"/>
      <c r="C502" s="39"/>
      <c r="D502" s="39"/>
      <c r="E502" s="39"/>
      <c r="F502" s="40"/>
      <c r="G502" s="38"/>
      <c r="H502" s="43"/>
      <c r="I502" s="43"/>
      <c r="J502" s="39"/>
      <c r="K502" s="38"/>
      <c r="L502" s="39"/>
      <c r="M502" s="39"/>
      <c r="N502" s="43"/>
      <c r="O502" s="38"/>
      <c r="P502" s="38"/>
      <c r="Q502" s="41" t="str">
        <f ca="1">IF(emp_db[[#This Row],[Exit Date]]&lt;&gt;"",(emp_db[[#This Row],[Exit Date]]-emp_db[[#This Row],[Column1]])/365,IF(emp_db[[#This Row],[ID]]&lt;&gt;"",(TODAY()-emp_db[[#This Row],[Column1]])/365,""))</f>
        <v/>
      </c>
      <c r="R502" s="42" t="str">
        <f ca="1">IF(emp_db[[#This Row],[Date of Birth]]&lt;&gt;"",(TODAY()-emp_db[[#This Row],[Date of Birth]])/365,"")</f>
        <v/>
      </c>
      <c r="S502" s="42">
        <f>YEAR(emp_db[[#This Row],[Column1]])</f>
        <v>1900</v>
      </c>
      <c r="T502" s="42">
        <f>MONTH(emp_db[[#This Row],[Column1]])</f>
        <v>1</v>
      </c>
      <c r="U502" s="42">
        <f>IFERROR(YEAR(emp_db[[#This Row],[Exit Date]]),"")</f>
        <v>1900</v>
      </c>
      <c r="V502" s="42">
        <f>IFERROR(MONTH(emp_db[[#This Row],[Exit Date]]),"")</f>
        <v>1</v>
      </c>
    </row>
    <row r="503" spans="2:22">
      <c r="B503" s="39"/>
      <c r="C503" s="39"/>
      <c r="D503" s="39"/>
      <c r="E503" s="39"/>
      <c r="F503" s="40"/>
      <c r="G503" s="38"/>
      <c r="H503" s="43"/>
      <c r="I503" s="43"/>
      <c r="J503" s="39"/>
      <c r="K503" s="38"/>
      <c r="L503" s="39"/>
      <c r="M503" s="39"/>
      <c r="N503" s="43"/>
      <c r="O503" s="38"/>
      <c r="P503" s="38"/>
      <c r="Q503" s="41" t="str">
        <f ca="1">IF(emp_db[[#This Row],[Exit Date]]&lt;&gt;"",(emp_db[[#This Row],[Exit Date]]-emp_db[[#This Row],[Column1]])/365,IF(emp_db[[#This Row],[ID]]&lt;&gt;"",(TODAY()-emp_db[[#This Row],[Column1]])/365,""))</f>
        <v/>
      </c>
      <c r="R503" s="42" t="str">
        <f ca="1">IF(emp_db[[#This Row],[Date of Birth]]&lt;&gt;"",(TODAY()-emp_db[[#This Row],[Date of Birth]])/365,"")</f>
        <v/>
      </c>
      <c r="S503" s="42">
        <f>YEAR(emp_db[[#This Row],[Column1]])</f>
        <v>1900</v>
      </c>
      <c r="T503" s="42">
        <f>MONTH(emp_db[[#This Row],[Column1]])</f>
        <v>1</v>
      </c>
      <c r="U503" s="42">
        <f>IFERROR(YEAR(emp_db[[#This Row],[Exit Date]]),"")</f>
        <v>1900</v>
      </c>
      <c r="V503" s="42">
        <f>IFERROR(MONTH(emp_db[[#This Row],[Exit Date]]),"")</f>
        <v>1</v>
      </c>
    </row>
    <row r="504" spans="2:22">
      <c r="B504" s="39"/>
      <c r="C504" s="39"/>
      <c r="D504" s="39"/>
      <c r="E504" s="39"/>
      <c r="F504" s="40"/>
      <c r="G504" s="38"/>
      <c r="H504" s="43"/>
      <c r="I504" s="43"/>
      <c r="J504" s="39"/>
      <c r="K504" s="38"/>
      <c r="L504" s="39"/>
      <c r="M504" s="39"/>
      <c r="N504" s="43"/>
      <c r="O504" s="38"/>
      <c r="P504" s="38"/>
      <c r="Q504" s="41" t="str">
        <f ca="1">IF(emp_db[[#This Row],[Exit Date]]&lt;&gt;"",(emp_db[[#This Row],[Exit Date]]-emp_db[[#This Row],[Column1]])/365,IF(emp_db[[#This Row],[ID]]&lt;&gt;"",(TODAY()-emp_db[[#This Row],[Column1]])/365,""))</f>
        <v/>
      </c>
      <c r="R504" s="42" t="str">
        <f ca="1">IF(emp_db[[#This Row],[Date of Birth]]&lt;&gt;"",(TODAY()-emp_db[[#This Row],[Date of Birth]])/365,"")</f>
        <v/>
      </c>
      <c r="S504" s="42">
        <f>YEAR(emp_db[[#This Row],[Column1]])</f>
        <v>1900</v>
      </c>
      <c r="T504" s="42">
        <f>MONTH(emp_db[[#This Row],[Column1]])</f>
        <v>1</v>
      </c>
      <c r="U504" s="42">
        <f>IFERROR(YEAR(emp_db[[#This Row],[Exit Date]]),"")</f>
        <v>1900</v>
      </c>
      <c r="V504" s="42">
        <f>IFERROR(MONTH(emp_db[[#This Row],[Exit Date]]),"")</f>
        <v>1</v>
      </c>
    </row>
    <row r="505" spans="2:22">
      <c r="B505" s="39"/>
      <c r="C505" s="39"/>
      <c r="D505" s="39"/>
      <c r="E505" s="39"/>
      <c r="F505" s="40"/>
      <c r="G505" s="38"/>
      <c r="H505" s="43"/>
      <c r="I505" s="43"/>
      <c r="J505" s="39"/>
      <c r="K505" s="38"/>
      <c r="L505" s="39"/>
      <c r="M505" s="39"/>
      <c r="N505" s="43"/>
      <c r="O505" s="38"/>
      <c r="P505" s="38"/>
      <c r="Q505" s="41" t="str">
        <f ca="1">IF(emp_db[[#This Row],[Exit Date]]&lt;&gt;"",(emp_db[[#This Row],[Exit Date]]-emp_db[[#This Row],[Column1]])/365,IF(emp_db[[#This Row],[ID]]&lt;&gt;"",(TODAY()-emp_db[[#This Row],[Column1]])/365,""))</f>
        <v/>
      </c>
      <c r="R505" s="42" t="str">
        <f ca="1">IF(emp_db[[#This Row],[Date of Birth]]&lt;&gt;"",(TODAY()-emp_db[[#This Row],[Date of Birth]])/365,"")</f>
        <v/>
      </c>
      <c r="S505" s="42">
        <f>YEAR(emp_db[[#This Row],[Column1]])</f>
        <v>1900</v>
      </c>
      <c r="T505" s="42">
        <f>MONTH(emp_db[[#This Row],[Column1]])</f>
        <v>1</v>
      </c>
      <c r="U505" s="42">
        <f>IFERROR(YEAR(emp_db[[#This Row],[Exit Date]]),"")</f>
        <v>1900</v>
      </c>
      <c r="V505" s="42">
        <f>IFERROR(MONTH(emp_db[[#This Row],[Exit Date]]),"")</f>
        <v>1</v>
      </c>
    </row>
    <row r="506" spans="2:22">
      <c r="B506" s="39"/>
      <c r="C506" s="39"/>
      <c r="D506" s="39"/>
      <c r="E506" s="39"/>
      <c r="F506" s="40"/>
      <c r="G506" s="38"/>
      <c r="H506" s="43"/>
      <c r="I506" s="43"/>
      <c r="J506" s="39"/>
      <c r="K506" s="38"/>
      <c r="L506" s="39"/>
      <c r="M506" s="39"/>
      <c r="N506" s="43"/>
      <c r="O506" s="38"/>
      <c r="P506" s="38"/>
      <c r="Q506" s="41" t="str">
        <f ca="1">IF(emp_db[[#This Row],[Exit Date]]&lt;&gt;"",(emp_db[[#This Row],[Exit Date]]-emp_db[[#This Row],[Column1]])/365,IF(emp_db[[#This Row],[ID]]&lt;&gt;"",(TODAY()-emp_db[[#This Row],[Column1]])/365,""))</f>
        <v/>
      </c>
      <c r="R506" s="42" t="str">
        <f ca="1">IF(emp_db[[#This Row],[Date of Birth]]&lt;&gt;"",(TODAY()-emp_db[[#This Row],[Date of Birth]])/365,"")</f>
        <v/>
      </c>
      <c r="S506" s="42">
        <f>YEAR(emp_db[[#This Row],[Column1]])</f>
        <v>1900</v>
      </c>
      <c r="T506" s="42">
        <f>MONTH(emp_db[[#This Row],[Column1]])</f>
        <v>1</v>
      </c>
      <c r="U506" s="42">
        <f>IFERROR(YEAR(emp_db[[#This Row],[Exit Date]]),"")</f>
        <v>1900</v>
      </c>
      <c r="V506" s="42">
        <f>IFERROR(MONTH(emp_db[[#This Row],[Exit Date]]),"")</f>
        <v>1</v>
      </c>
    </row>
    <row r="507" spans="2:22">
      <c r="B507" s="39"/>
      <c r="C507" s="39"/>
      <c r="D507" s="39"/>
      <c r="E507" s="39"/>
      <c r="F507" s="40"/>
      <c r="G507" s="38"/>
      <c r="H507" s="43"/>
      <c r="I507" s="43"/>
      <c r="J507" s="39"/>
      <c r="K507" s="38"/>
      <c r="L507" s="39"/>
      <c r="M507" s="39"/>
      <c r="N507" s="43"/>
      <c r="O507" s="38"/>
      <c r="P507" s="38"/>
      <c r="Q507" s="41" t="str">
        <f ca="1">IF(emp_db[[#This Row],[Exit Date]]&lt;&gt;"",(emp_db[[#This Row],[Exit Date]]-emp_db[[#This Row],[Column1]])/365,IF(emp_db[[#This Row],[ID]]&lt;&gt;"",(TODAY()-emp_db[[#This Row],[Column1]])/365,""))</f>
        <v/>
      </c>
      <c r="R507" s="42" t="str">
        <f ca="1">IF(emp_db[[#This Row],[Date of Birth]]&lt;&gt;"",(TODAY()-emp_db[[#This Row],[Date of Birth]])/365,"")</f>
        <v/>
      </c>
      <c r="S507" s="42">
        <f>YEAR(emp_db[[#This Row],[Column1]])</f>
        <v>1900</v>
      </c>
      <c r="T507" s="42">
        <f>MONTH(emp_db[[#This Row],[Column1]])</f>
        <v>1</v>
      </c>
      <c r="U507" s="42">
        <f>IFERROR(YEAR(emp_db[[#This Row],[Exit Date]]),"")</f>
        <v>1900</v>
      </c>
      <c r="V507" s="42">
        <f>IFERROR(MONTH(emp_db[[#This Row],[Exit Date]]),"")</f>
        <v>1</v>
      </c>
    </row>
    <row r="508" spans="2:22">
      <c r="B508" s="39"/>
      <c r="C508" s="39"/>
      <c r="D508" s="39"/>
      <c r="E508" s="39"/>
      <c r="F508" s="40"/>
      <c r="G508" s="38"/>
      <c r="H508" s="43"/>
      <c r="I508" s="43"/>
      <c r="J508" s="39"/>
      <c r="K508" s="38"/>
      <c r="L508" s="39"/>
      <c r="M508" s="39"/>
      <c r="N508" s="43"/>
      <c r="O508" s="38"/>
      <c r="P508" s="38"/>
      <c r="Q508" s="41" t="str">
        <f ca="1">IF(emp_db[[#This Row],[Exit Date]]&lt;&gt;"",(emp_db[[#This Row],[Exit Date]]-emp_db[[#This Row],[Column1]])/365,IF(emp_db[[#This Row],[ID]]&lt;&gt;"",(TODAY()-emp_db[[#This Row],[Column1]])/365,""))</f>
        <v/>
      </c>
      <c r="R508" s="42" t="str">
        <f ca="1">IF(emp_db[[#This Row],[Date of Birth]]&lt;&gt;"",(TODAY()-emp_db[[#This Row],[Date of Birth]])/365,"")</f>
        <v/>
      </c>
      <c r="S508" s="42">
        <f>YEAR(emp_db[[#This Row],[Column1]])</f>
        <v>1900</v>
      </c>
      <c r="T508" s="42">
        <f>MONTH(emp_db[[#This Row],[Column1]])</f>
        <v>1</v>
      </c>
      <c r="U508" s="42">
        <f>IFERROR(YEAR(emp_db[[#This Row],[Exit Date]]),"")</f>
        <v>1900</v>
      </c>
      <c r="V508" s="42">
        <f>IFERROR(MONTH(emp_db[[#This Row],[Exit Date]]),"")</f>
        <v>1</v>
      </c>
    </row>
    <row r="509" spans="2:22">
      <c r="B509" s="39"/>
      <c r="C509" s="39"/>
      <c r="D509" s="39"/>
      <c r="E509" s="39"/>
      <c r="F509" s="40"/>
      <c r="G509" s="38"/>
      <c r="H509" s="43"/>
      <c r="I509" s="43"/>
      <c r="J509" s="39"/>
      <c r="K509" s="38"/>
      <c r="L509" s="39"/>
      <c r="M509" s="39"/>
      <c r="N509" s="43"/>
      <c r="O509" s="38"/>
      <c r="P509" s="38"/>
      <c r="Q509" s="41" t="str">
        <f ca="1">IF(emp_db[[#This Row],[Exit Date]]&lt;&gt;"",(emp_db[[#This Row],[Exit Date]]-emp_db[[#This Row],[Column1]])/365,IF(emp_db[[#This Row],[ID]]&lt;&gt;"",(TODAY()-emp_db[[#This Row],[Column1]])/365,""))</f>
        <v/>
      </c>
      <c r="R509" s="42" t="str">
        <f ca="1">IF(emp_db[[#This Row],[Date of Birth]]&lt;&gt;"",(TODAY()-emp_db[[#This Row],[Date of Birth]])/365,"")</f>
        <v/>
      </c>
      <c r="S509" s="42">
        <f>YEAR(emp_db[[#This Row],[Column1]])</f>
        <v>1900</v>
      </c>
      <c r="T509" s="42">
        <f>MONTH(emp_db[[#This Row],[Column1]])</f>
        <v>1</v>
      </c>
      <c r="U509" s="42">
        <f>IFERROR(YEAR(emp_db[[#This Row],[Exit Date]]),"")</f>
        <v>1900</v>
      </c>
      <c r="V509" s="42">
        <f>IFERROR(MONTH(emp_db[[#This Row],[Exit Date]]),"")</f>
        <v>1</v>
      </c>
    </row>
    <row r="510" spans="2:22">
      <c r="B510" s="39"/>
      <c r="C510" s="39"/>
      <c r="D510" s="39"/>
      <c r="E510" s="39"/>
      <c r="F510" s="40"/>
      <c r="G510" s="38"/>
      <c r="H510" s="43"/>
      <c r="I510" s="43"/>
      <c r="J510" s="39"/>
      <c r="K510" s="38"/>
      <c r="L510" s="39"/>
      <c r="M510" s="39"/>
      <c r="N510" s="43"/>
      <c r="O510" s="38"/>
      <c r="P510" s="38"/>
      <c r="Q510" s="41" t="str">
        <f ca="1">IF(emp_db[[#This Row],[Exit Date]]&lt;&gt;"",(emp_db[[#This Row],[Exit Date]]-emp_db[[#This Row],[Column1]])/365,IF(emp_db[[#This Row],[ID]]&lt;&gt;"",(TODAY()-emp_db[[#This Row],[Column1]])/365,""))</f>
        <v/>
      </c>
      <c r="R510" s="42" t="str">
        <f ca="1">IF(emp_db[[#This Row],[Date of Birth]]&lt;&gt;"",(TODAY()-emp_db[[#This Row],[Date of Birth]])/365,"")</f>
        <v/>
      </c>
      <c r="S510" s="42">
        <f>YEAR(emp_db[[#This Row],[Column1]])</f>
        <v>1900</v>
      </c>
      <c r="T510" s="42">
        <f>MONTH(emp_db[[#This Row],[Column1]])</f>
        <v>1</v>
      </c>
      <c r="U510" s="42">
        <f>IFERROR(YEAR(emp_db[[#This Row],[Exit Date]]),"")</f>
        <v>1900</v>
      </c>
      <c r="V510" s="42">
        <f>IFERROR(MONTH(emp_db[[#This Row],[Exit Date]]),"")</f>
        <v>1</v>
      </c>
    </row>
    <row r="511" spans="2:22">
      <c r="B511" s="39"/>
      <c r="C511" s="39"/>
      <c r="D511" s="39"/>
      <c r="E511" s="39"/>
      <c r="F511" s="40"/>
      <c r="G511" s="38"/>
      <c r="H511" s="43"/>
      <c r="I511" s="43"/>
      <c r="J511" s="39"/>
      <c r="K511" s="38"/>
      <c r="L511" s="39"/>
      <c r="M511" s="39"/>
      <c r="N511" s="43"/>
      <c r="O511" s="38"/>
      <c r="P511" s="38"/>
      <c r="Q511" s="41" t="str">
        <f ca="1">IF(emp_db[[#This Row],[Exit Date]]&lt;&gt;"",(emp_db[[#This Row],[Exit Date]]-emp_db[[#This Row],[Column1]])/365,IF(emp_db[[#This Row],[ID]]&lt;&gt;"",(TODAY()-emp_db[[#This Row],[Column1]])/365,""))</f>
        <v/>
      </c>
      <c r="R511" s="42" t="str">
        <f ca="1">IF(emp_db[[#This Row],[Date of Birth]]&lt;&gt;"",(TODAY()-emp_db[[#This Row],[Date of Birth]])/365,"")</f>
        <v/>
      </c>
      <c r="S511" s="42">
        <f>YEAR(emp_db[[#This Row],[Column1]])</f>
        <v>1900</v>
      </c>
      <c r="T511" s="42">
        <f>MONTH(emp_db[[#This Row],[Column1]])</f>
        <v>1</v>
      </c>
      <c r="U511" s="42">
        <f>IFERROR(YEAR(emp_db[[#This Row],[Exit Date]]),"")</f>
        <v>1900</v>
      </c>
      <c r="V511" s="42">
        <f>IFERROR(MONTH(emp_db[[#This Row],[Exit Date]]),"")</f>
        <v>1</v>
      </c>
    </row>
    <row r="512" spans="2:22">
      <c r="B512" s="39"/>
      <c r="C512" s="39"/>
      <c r="D512" s="39"/>
      <c r="E512" s="39"/>
      <c r="F512" s="40"/>
      <c r="G512" s="38"/>
      <c r="H512" s="43"/>
      <c r="I512" s="43"/>
      <c r="J512" s="39"/>
      <c r="K512" s="38"/>
      <c r="L512" s="39"/>
      <c r="M512" s="39"/>
      <c r="N512" s="43"/>
      <c r="O512" s="38"/>
      <c r="P512" s="38"/>
      <c r="Q512" s="41" t="str">
        <f ca="1">IF(emp_db[[#This Row],[Exit Date]]&lt;&gt;"",(emp_db[[#This Row],[Exit Date]]-emp_db[[#This Row],[Column1]])/365,IF(emp_db[[#This Row],[ID]]&lt;&gt;"",(TODAY()-emp_db[[#This Row],[Column1]])/365,""))</f>
        <v/>
      </c>
      <c r="R512" s="42" t="str">
        <f ca="1">IF(emp_db[[#This Row],[Date of Birth]]&lt;&gt;"",(TODAY()-emp_db[[#This Row],[Date of Birth]])/365,"")</f>
        <v/>
      </c>
      <c r="S512" s="42">
        <f>YEAR(emp_db[[#This Row],[Column1]])</f>
        <v>1900</v>
      </c>
      <c r="T512" s="42">
        <f>MONTH(emp_db[[#This Row],[Column1]])</f>
        <v>1</v>
      </c>
      <c r="U512" s="42">
        <f>IFERROR(YEAR(emp_db[[#This Row],[Exit Date]]),"")</f>
        <v>1900</v>
      </c>
      <c r="V512" s="42">
        <f>IFERROR(MONTH(emp_db[[#This Row],[Exit Date]]),"")</f>
        <v>1</v>
      </c>
    </row>
    <row r="513" spans="2:22">
      <c r="B513" s="39"/>
      <c r="C513" s="39"/>
      <c r="D513" s="39"/>
      <c r="E513" s="39"/>
      <c r="F513" s="40"/>
      <c r="G513" s="38"/>
      <c r="H513" s="43"/>
      <c r="I513" s="43"/>
      <c r="J513" s="39"/>
      <c r="K513" s="38"/>
      <c r="L513" s="39"/>
      <c r="M513" s="39"/>
      <c r="N513" s="43"/>
      <c r="O513" s="38"/>
      <c r="P513" s="38"/>
      <c r="Q513" s="41" t="str">
        <f ca="1">IF(emp_db[[#This Row],[Exit Date]]&lt;&gt;"",(emp_db[[#This Row],[Exit Date]]-emp_db[[#This Row],[Column1]])/365,IF(emp_db[[#This Row],[ID]]&lt;&gt;"",(TODAY()-emp_db[[#This Row],[Column1]])/365,""))</f>
        <v/>
      </c>
      <c r="R513" s="42" t="str">
        <f ca="1">IF(emp_db[[#This Row],[Date of Birth]]&lt;&gt;"",(TODAY()-emp_db[[#This Row],[Date of Birth]])/365,"")</f>
        <v/>
      </c>
      <c r="S513" s="42">
        <f>YEAR(emp_db[[#This Row],[Column1]])</f>
        <v>1900</v>
      </c>
      <c r="T513" s="42">
        <f>MONTH(emp_db[[#This Row],[Column1]])</f>
        <v>1</v>
      </c>
      <c r="U513" s="42">
        <f>IFERROR(YEAR(emp_db[[#This Row],[Exit Date]]),"")</f>
        <v>1900</v>
      </c>
      <c r="V513" s="42">
        <f>IFERROR(MONTH(emp_db[[#This Row],[Exit Date]]),"")</f>
        <v>1</v>
      </c>
    </row>
    <row r="514" spans="2:22">
      <c r="B514" s="39"/>
      <c r="C514" s="39"/>
      <c r="D514" s="39"/>
      <c r="E514" s="39"/>
      <c r="F514" s="40"/>
      <c r="G514" s="38"/>
      <c r="H514" s="43"/>
      <c r="I514" s="43"/>
      <c r="J514" s="39"/>
      <c r="K514" s="38"/>
      <c r="L514" s="39"/>
      <c r="M514" s="39"/>
      <c r="N514" s="43"/>
      <c r="O514" s="38"/>
      <c r="P514" s="38"/>
      <c r="Q514" s="41" t="str">
        <f ca="1">IF(emp_db[[#This Row],[Exit Date]]&lt;&gt;"",(emp_db[[#This Row],[Exit Date]]-emp_db[[#This Row],[Column1]])/365,IF(emp_db[[#This Row],[ID]]&lt;&gt;"",(TODAY()-emp_db[[#This Row],[Column1]])/365,""))</f>
        <v/>
      </c>
      <c r="R514" s="42" t="str">
        <f ca="1">IF(emp_db[[#This Row],[Date of Birth]]&lt;&gt;"",(TODAY()-emp_db[[#This Row],[Date of Birth]])/365,"")</f>
        <v/>
      </c>
      <c r="S514" s="42">
        <f>YEAR(emp_db[[#This Row],[Column1]])</f>
        <v>1900</v>
      </c>
      <c r="T514" s="42">
        <f>MONTH(emp_db[[#This Row],[Column1]])</f>
        <v>1</v>
      </c>
      <c r="U514" s="42">
        <f>IFERROR(YEAR(emp_db[[#This Row],[Exit Date]]),"")</f>
        <v>1900</v>
      </c>
      <c r="V514" s="42">
        <f>IFERROR(MONTH(emp_db[[#This Row],[Exit Date]]),"")</f>
        <v>1</v>
      </c>
    </row>
    <row r="515" spans="2:22">
      <c r="B515" s="39"/>
      <c r="C515" s="39"/>
      <c r="D515" s="39"/>
      <c r="E515" s="39"/>
      <c r="F515" s="40"/>
      <c r="G515" s="38"/>
      <c r="H515" s="43"/>
      <c r="I515" s="43"/>
      <c r="J515" s="39"/>
      <c r="K515" s="38"/>
      <c r="L515" s="39"/>
      <c r="M515" s="39"/>
      <c r="N515" s="43"/>
      <c r="O515" s="38"/>
      <c r="P515" s="38"/>
      <c r="Q515" s="41" t="str">
        <f ca="1">IF(emp_db[[#This Row],[Exit Date]]&lt;&gt;"",(emp_db[[#This Row],[Exit Date]]-emp_db[[#This Row],[Column1]])/365,IF(emp_db[[#This Row],[ID]]&lt;&gt;"",(TODAY()-emp_db[[#This Row],[Column1]])/365,""))</f>
        <v/>
      </c>
      <c r="R515" s="42" t="str">
        <f ca="1">IF(emp_db[[#This Row],[Date of Birth]]&lt;&gt;"",(TODAY()-emp_db[[#This Row],[Date of Birth]])/365,"")</f>
        <v/>
      </c>
      <c r="S515" s="42">
        <f>YEAR(emp_db[[#This Row],[Column1]])</f>
        <v>1900</v>
      </c>
      <c r="T515" s="42">
        <f>MONTH(emp_db[[#This Row],[Column1]])</f>
        <v>1</v>
      </c>
      <c r="U515" s="42">
        <f>IFERROR(YEAR(emp_db[[#This Row],[Exit Date]]),"")</f>
        <v>1900</v>
      </c>
      <c r="V515" s="42">
        <f>IFERROR(MONTH(emp_db[[#This Row],[Exit Date]]),"")</f>
        <v>1</v>
      </c>
    </row>
    <row r="516" spans="2:22">
      <c r="B516" s="39"/>
      <c r="C516" s="39"/>
      <c r="D516" s="39"/>
      <c r="E516" s="39"/>
      <c r="F516" s="40"/>
      <c r="G516" s="38"/>
      <c r="H516" s="43"/>
      <c r="I516" s="43"/>
      <c r="J516" s="39"/>
      <c r="K516" s="38"/>
      <c r="L516" s="39"/>
      <c r="M516" s="39"/>
      <c r="N516" s="43"/>
      <c r="O516" s="38"/>
      <c r="P516" s="38"/>
      <c r="Q516" s="41" t="str">
        <f ca="1">IF(emp_db[[#This Row],[Exit Date]]&lt;&gt;"",(emp_db[[#This Row],[Exit Date]]-emp_db[[#This Row],[Column1]])/365,IF(emp_db[[#This Row],[ID]]&lt;&gt;"",(TODAY()-emp_db[[#This Row],[Column1]])/365,""))</f>
        <v/>
      </c>
      <c r="R516" s="42" t="str">
        <f ca="1">IF(emp_db[[#This Row],[Date of Birth]]&lt;&gt;"",(TODAY()-emp_db[[#This Row],[Date of Birth]])/365,"")</f>
        <v/>
      </c>
      <c r="S516" s="42">
        <f>YEAR(emp_db[[#This Row],[Column1]])</f>
        <v>1900</v>
      </c>
      <c r="T516" s="42">
        <f>MONTH(emp_db[[#This Row],[Column1]])</f>
        <v>1</v>
      </c>
      <c r="U516" s="42">
        <f>IFERROR(YEAR(emp_db[[#This Row],[Exit Date]]),"")</f>
        <v>1900</v>
      </c>
      <c r="V516" s="42">
        <f>IFERROR(MONTH(emp_db[[#This Row],[Exit Date]]),"")</f>
        <v>1</v>
      </c>
    </row>
    <row r="517" spans="2:22">
      <c r="B517" s="39"/>
      <c r="C517" s="39"/>
      <c r="D517" s="39"/>
      <c r="E517" s="39"/>
      <c r="F517" s="40"/>
      <c r="G517" s="38"/>
      <c r="H517" s="43"/>
      <c r="I517" s="43"/>
      <c r="J517" s="39"/>
      <c r="K517" s="38"/>
      <c r="L517" s="39"/>
      <c r="M517" s="39"/>
      <c r="N517" s="43"/>
      <c r="O517" s="38"/>
      <c r="P517" s="38"/>
      <c r="Q517" s="41" t="str">
        <f ca="1">IF(emp_db[[#This Row],[Exit Date]]&lt;&gt;"",(emp_db[[#This Row],[Exit Date]]-emp_db[[#This Row],[Column1]])/365,IF(emp_db[[#This Row],[ID]]&lt;&gt;"",(TODAY()-emp_db[[#This Row],[Column1]])/365,""))</f>
        <v/>
      </c>
      <c r="R517" s="42" t="str">
        <f ca="1">IF(emp_db[[#This Row],[Date of Birth]]&lt;&gt;"",(TODAY()-emp_db[[#This Row],[Date of Birth]])/365,"")</f>
        <v/>
      </c>
      <c r="S517" s="42">
        <f>YEAR(emp_db[[#This Row],[Column1]])</f>
        <v>1900</v>
      </c>
      <c r="T517" s="42">
        <f>MONTH(emp_db[[#This Row],[Column1]])</f>
        <v>1</v>
      </c>
      <c r="U517" s="42">
        <f>IFERROR(YEAR(emp_db[[#This Row],[Exit Date]]),"")</f>
        <v>1900</v>
      </c>
      <c r="V517" s="42">
        <f>IFERROR(MONTH(emp_db[[#This Row],[Exit Date]]),"")</f>
        <v>1</v>
      </c>
    </row>
    <row r="518" spans="2:22">
      <c r="B518" s="39"/>
      <c r="C518" s="39"/>
      <c r="D518" s="39"/>
      <c r="E518" s="39"/>
      <c r="F518" s="40"/>
      <c r="G518" s="38"/>
      <c r="H518" s="43"/>
      <c r="I518" s="43"/>
      <c r="J518" s="39"/>
      <c r="K518" s="38"/>
      <c r="L518" s="39"/>
      <c r="M518" s="39"/>
      <c r="N518" s="43"/>
      <c r="O518" s="38"/>
      <c r="P518" s="38"/>
      <c r="Q518" s="41" t="str">
        <f ca="1">IF(emp_db[[#This Row],[Exit Date]]&lt;&gt;"",(emp_db[[#This Row],[Exit Date]]-emp_db[[#This Row],[Column1]])/365,IF(emp_db[[#This Row],[ID]]&lt;&gt;"",(TODAY()-emp_db[[#This Row],[Column1]])/365,""))</f>
        <v/>
      </c>
      <c r="R518" s="42" t="str">
        <f ca="1">IF(emp_db[[#This Row],[Date of Birth]]&lt;&gt;"",(TODAY()-emp_db[[#This Row],[Date of Birth]])/365,"")</f>
        <v/>
      </c>
      <c r="S518" s="42">
        <f>YEAR(emp_db[[#This Row],[Column1]])</f>
        <v>1900</v>
      </c>
      <c r="T518" s="42">
        <f>MONTH(emp_db[[#This Row],[Column1]])</f>
        <v>1</v>
      </c>
      <c r="U518" s="42">
        <f>IFERROR(YEAR(emp_db[[#This Row],[Exit Date]]),"")</f>
        <v>1900</v>
      </c>
      <c r="V518" s="42">
        <f>IFERROR(MONTH(emp_db[[#This Row],[Exit Date]]),"")</f>
        <v>1</v>
      </c>
    </row>
    <row r="519" spans="2:22">
      <c r="B519" s="39"/>
      <c r="C519" s="39"/>
      <c r="D519" s="39"/>
      <c r="E519" s="39"/>
      <c r="F519" s="40"/>
      <c r="G519" s="38"/>
      <c r="H519" s="43"/>
      <c r="I519" s="43"/>
      <c r="J519" s="39"/>
      <c r="K519" s="38"/>
      <c r="L519" s="39"/>
      <c r="M519" s="39"/>
      <c r="N519" s="43"/>
      <c r="O519" s="38"/>
      <c r="P519" s="38"/>
      <c r="Q519" s="41" t="str">
        <f ca="1">IF(emp_db[[#This Row],[Exit Date]]&lt;&gt;"",(emp_db[[#This Row],[Exit Date]]-emp_db[[#This Row],[Column1]])/365,IF(emp_db[[#This Row],[ID]]&lt;&gt;"",(TODAY()-emp_db[[#This Row],[Column1]])/365,""))</f>
        <v/>
      </c>
      <c r="R519" s="42" t="str">
        <f ca="1">IF(emp_db[[#This Row],[Date of Birth]]&lt;&gt;"",(TODAY()-emp_db[[#This Row],[Date of Birth]])/365,"")</f>
        <v/>
      </c>
      <c r="S519" s="42">
        <f>YEAR(emp_db[[#This Row],[Column1]])</f>
        <v>1900</v>
      </c>
      <c r="T519" s="42">
        <f>MONTH(emp_db[[#This Row],[Column1]])</f>
        <v>1</v>
      </c>
      <c r="U519" s="42">
        <f>IFERROR(YEAR(emp_db[[#This Row],[Exit Date]]),"")</f>
        <v>1900</v>
      </c>
      <c r="V519" s="42">
        <f>IFERROR(MONTH(emp_db[[#This Row],[Exit Date]]),"")</f>
        <v>1</v>
      </c>
    </row>
    <row r="520" spans="2:22">
      <c r="B520" s="39"/>
      <c r="C520" s="39"/>
      <c r="D520" s="39"/>
      <c r="E520" s="39"/>
      <c r="F520" s="40"/>
      <c r="G520" s="38"/>
      <c r="H520" s="43"/>
      <c r="I520" s="43"/>
      <c r="J520" s="39"/>
      <c r="K520" s="38"/>
      <c r="L520" s="39"/>
      <c r="M520" s="39"/>
      <c r="N520" s="43"/>
      <c r="O520" s="38"/>
      <c r="P520" s="38"/>
      <c r="Q520" s="41" t="str">
        <f ca="1">IF(emp_db[[#This Row],[Exit Date]]&lt;&gt;"",(emp_db[[#This Row],[Exit Date]]-emp_db[[#This Row],[Column1]])/365,IF(emp_db[[#This Row],[ID]]&lt;&gt;"",(TODAY()-emp_db[[#This Row],[Column1]])/365,""))</f>
        <v/>
      </c>
      <c r="R520" s="42" t="str">
        <f ca="1">IF(emp_db[[#This Row],[Date of Birth]]&lt;&gt;"",(TODAY()-emp_db[[#This Row],[Date of Birth]])/365,"")</f>
        <v/>
      </c>
      <c r="S520" s="42">
        <f>YEAR(emp_db[[#This Row],[Column1]])</f>
        <v>1900</v>
      </c>
      <c r="T520" s="42">
        <f>MONTH(emp_db[[#This Row],[Column1]])</f>
        <v>1</v>
      </c>
      <c r="U520" s="42">
        <f>IFERROR(YEAR(emp_db[[#This Row],[Exit Date]]),"")</f>
        <v>1900</v>
      </c>
      <c r="V520" s="42">
        <f>IFERROR(MONTH(emp_db[[#This Row],[Exit Date]]),"")</f>
        <v>1</v>
      </c>
    </row>
    <row r="521" spans="2:22">
      <c r="B521" s="39"/>
      <c r="C521" s="39"/>
      <c r="D521" s="39"/>
      <c r="E521" s="39"/>
      <c r="F521" s="40"/>
      <c r="G521" s="38"/>
      <c r="H521" s="43"/>
      <c r="I521" s="43"/>
      <c r="J521" s="39"/>
      <c r="K521" s="38"/>
      <c r="L521" s="39"/>
      <c r="M521" s="39"/>
      <c r="N521" s="43"/>
      <c r="O521" s="38"/>
      <c r="P521" s="38"/>
      <c r="Q521" s="41" t="str">
        <f ca="1">IF(emp_db[[#This Row],[Exit Date]]&lt;&gt;"",(emp_db[[#This Row],[Exit Date]]-emp_db[[#This Row],[Column1]])/365,IF(emp_db[[#This Row],[ID]]&lt;&gt;"",(TODAY()-emp_db[[#This Row],[Column1]])/365,""))</f>
        <v/>
      </c>
      <c r="R521" s="42" t="str">
        <f ca="1">IF(emp_db[[#This Row],[Date of Birth]]&lt;&gt;"",(TODAY()-emp_db[[#This Row],[Date of Birth]])/365,"")</f>
        <v/>
      </c>
      <c r="S521" s="42">
        <f>YEAR(emp_db[[#This Row],[Column1]])</f>
        <v>1900</v>
      </c>
      <c r="T521" s="42">
        <f>MONTH(emp_db[[#This Row],[Column1]])</f>
        <v>1</v>
      </c>
      <c r="U521" s="42">
        <f>IFERROR(YEAR(emp_db[[#This Row],[Exit Date]]),"")</f>
        <v>1900</v>
      </c>
      <c r="V521" s="42">
        <f>IFERROR(MONTH(emp_db[[#This Row],[Exit Date]]),"")</f>
        <v>1</v>
      </c>
    </row>
    <row r="522" spans="2:22">
      <c r="B522" s="39"/>
      <c r="C522" s="39"/>
      <c r="D522" s="39"/>
      <c r="E522" s="39"/>
      <c r="F522" s="40"/>
      <c r="G522" s="38"/>
      <c r="H522" s="43"/>
      <c r="I522" s="43"/>
      <c r="J522" s="39"/>
      <c r="K522" s="38"/>
      <c r="L522" s="39"/>
      <c r="M522" s="39"/>
      <c r="N522" s="43"/>
      <c r="O522" s="38"/>
      <c r="P522" s="38"/>
      <c r="Q522" s="41" t="str">
        <f ca="1">IF(emp_db[[#This Row],[Exit Date]]&lt;&gt;"",(emp_db[[#This Row],[Exit Date]]-emp_db[[#This Row],[Column1]])/365,IF(emp_db[[#This Row],[ID]]&lt;&gt;"",(TODAY()-emp_db[[#This Row],[Column1]])/365,""))</f>
        <v/>
      </c>
      <c r="R522" s="42" t="str">
        <f ca="1">IF(emp_db[[#This Row],[Date of Birth]]&lt;&gt;"",(TODAY()-emp_db[[#This Row],[Date of Birth]])/365,"")</f>
        <v/>
      </c>
      <c r="S522" s="42">
        <f>YEAR(emp_db[[#This Row],[Column1]])</f>
        <v>1900</v>
      </c>
      <c r="T522" s="42">
        <f>MONTH(emp_db[[#This Row],[Column1]])</f>
        <v>1</v>
      </c>
      <c r="U522" s="42">
        <f>IFERROR(YEAR(emp_db[[#This Row],[Exit Date]]),"")</f>
        <v>1900</v>
      </c>
      <c r="V522" s="42">
        <f>IFERROR(MONTH(emp_db[[#This Row],[Exit Date]]),"")</f>
        <v>1</v>
      </c>
    </row>
    <row r="523" spans="2:22">
      <c r="B523" s="39"/>
      <c r="C523" s="39"/>
      <c r="D523" s="39"/>
      <c r="E523" s="39"/>
      <c r="F523" s="40"/>
      <c r="G523" s="38"/>
      <c r="H523" s="43"/>
      <c r="I523" s="43"/>
      <c r="J523" s="39"/>
      <c r="K523" s="38"/>
      <c r="L523" s="39"/>
      <c r="M523" s="39"/>
      <c r="N523" s="43"/>
      <c r="O523" s="38"/>
      <c r="P523" s="38"/>
      <c r="Q523" s="41" t="str">
        <f ca="1">IF(emp_db[[#This Row],[Exit Date]]&lt;&gt;"",(emp_db[[#This Row],[Exit Date]]-emp_db[[#This Row],[Column1]])/365,IF(emp_db[[#This Row],[ID]]&lt;&gt;"",(TODAY()-emp_db[[#This Row],[Column1]])/365,""))</f>
        <v/>
      </c>
      <c r="R523" s="42" t="str">
        <f ca="1">IF(emp_db[[#This Row],[Date of Birth]]&lt;&gt;"",(TODAY()-emp_db[[#This Row],[Date of Birth]])/365,"")</f>
        <v/>
      </c>
      <c r="S523" s="42">
        <f>YEAR(emp_db[[#This Row],[Column1]])</f>
        <v>1900</v>
      </c>
      <c r="T523" s="42">
        <f>MONTH(emp_db[[#This Row],[Column1]])</f>
        <v>1</v>
      </c>
      <c r="U523" s="42">
        <f>IFERROR(YEAR(emp_db[[#This Row],[Exit Date]]),"")</f>
        <v>1900</v>
      </c>
      <c r="V523" s="42">
        <f>IFERROR(MONTH(emp_db[[#This Row],[Exit Date]]),"")</f>
        <v>1</v>
      </c>
    </row>
    <row r="524" spans="2:22">
      <c r="B524" s="39"/>
      <c r="C524" s="39"/>
      <c r="D524" s="39"/>
      <c r="E524" s="39"/>
      <c r="F524" s="40"/>
      <c r="G524" s="38"/>
      <c r="H524" s="43"/>
      <c r="I524" s="43"/>
      <c r="J524" s="39"/>
      <c r="K524" s="38"/>
      <c r="L524" s="39"/>
      <c r="M524" s="39"/>
      <c r="N524" s="43"/>
      <c r="O524" s="38"/>
      <c r="P524" s="38"/>
      <c r="Q524" s="41" t="str">
        <f ca="1">IF(emp_db[[#This Row],[Exit Date]]&lt;&gt;"",(emp_db[[#This Row],[Exit Date]]-emp_db[[#This Row],[Column1]])/365,IF(emp_db[[#This Row],[ID]]&lt;&gt;"",(TODAY()-emp_db[[#This Row],[Column1]])/365,""))</f>
        <v/>
      </c>
      <c r="R524" s="42" t="str">
        <f ca="1">IF(emp_db[[#This Row],[Date of Birth]]&lt;&gt;"",(TODAY()-emp_db[[#This Row],[Date of Birth]])/365,"")</f>
        <v/>
      </c>
      <c r="S524" s="42">
        <f>YEAR(emp_db[[#This Row],[Column1]])</f>
        <v>1900</v>
      </c>
      <c r="T524" s="42">
        <f>MONTH(emp_db[[#This Row],[Column1]])</f>
        <v>1</v>
      </c>
      <c r="U524" s="42">
        <f>IFERROR(YEAR(emp_db[[#This Row],[Exit Date]]),"")</f>
        <v>1900</v>
      </c>
      <c r="V524" s="42">
        <f>IFERROR(MONTH(emp_db[[#This Row],[Exit Date]]),"")</f>
        <v>1</v>
      </c>
    </row>
    <row r="525" spans="2:22">
      <c r="B525" s="39"/>
      <c r="C525" s="39"/>
      <c r="D525" s="39"/>
      <c r="E525" s="39"/>
      <c r="F525" s="40"/>
      <c r="G525" s="38"/>
      <c r="H525" s="43"/>
      <c r="I525" s="43"/>
      <c r="J525" s="39"/>
      <c r="K525" s="38"/>
      <c r="L525" s="39"/>
      <c r="M525" s="39"/>
      <c r="N525" s="43"/>
      <c r="O525" s="38"/>
      <c r="P525" s="38"/>
      <c r="Q525" s="41" t="str">
        <f ca="1">IF(emp_db[[#This Row],[Exit Date]]&lt;&gt;"",(emp_db[[#This Row],[Exit Date]]-emp_db[[#This Row],[Column1]])/365,IF(emp_db[[#This Row],[ID]]&lt;&gt;"",(TODAY()-emp_db[[#This Row],[Column1]])/365,""))</f>
        <v/>
      </c>
      <c r="R525" s="42" t="str">
        <f ca="1">IF(emp_db[[#This Row],[Date of Birth]]&lt;&gt;"",(TODAY()-emp_db[[#This Row],[Date of Birth]])/365,"")</f>
        <v/>
      </c>
      <c r="S525" s="42">
        <f>YEAR(emp_db[[#This Row],[Column1]])</f>
        <v>1900</v>
      </c>
      <c r="T525" s="42">
        <f>MONTH(emp_db[[#This Row],[Column1]])</f>
        <v>1</v>
      </c>
      <c r="U525" s="42">
        <f>IFERROR(YEAR(emp_db[[#This Row],[Exit Date]]),"")</f>
        <v>1900</v>
      </c>
      <c r="V525" s="42">
        <f>IFERROR(MONTH(emp_db[[#This Row],[Exit Date]]),"")</f>
        <v>1</v>
      </c>
    </row>
    <row r="526" spans="2:22">
      <c r="B526" s="39"/>
      <c r="C526" s="39"/>
      <c r="D526" s="39"/>
      <c r="E526" s="39"/>
      <c r="F526" s="40"/>
      <c r="G526" s="38"/>
      <c r="H526" s="43"/>
      <c r="I526" s="43"/>
      <c r="J526" s="39"/>
      <c r="K526" s="38"/>
      <c r="L526" s="39"/>
      <c r="M526" s="39"/>
      <c r="N526" s="43"/>
      <c r="O526" s="38"/>
      <c r="P526" s="38"/>
      <c r="Q526" s="41" t="str">
        <f ca="1">IF(emp_db[[#This Row],[Exit Date]]&lt;&gt;"",(emp_db[[#This Row],[Exit Date]]-emp_db[[#This Row],[Column1]])/365,IF(emp_db[[#This Row],[ID]]&lt;&gt;"",(TODAY()-emp_db[[#This Row],[Column1]])/365,""))</f>
        <v/>
      </c>
      <c r="R526" s="42" t="str">
        <f ca="1">IF(emp_db[[#This Row],[Date of Birth]]&lt;&gt;"",(TODAY()-emp_db[[#This Row],[Date of Birth]])/365,"")</f>
        <v/>
      </c>
      <c r="S526" s="42">
        <f>YEAR(emp_db[[#This Row],[Column1]])</f>
        <v>1900</v>
      </c>
      <c r="T526" s="42">
        <f>MONTH(emp_db[[#This Row],[Column1]])</f>
        <v>1</v>
      </c>
      <c r="U526" s="42">
        <f>IFERROR(YEAR(emp_db[[#This Row],[Exit Date]]),"")</f>
        <v>1900</v>
      </c>
      <c r="V526" s="42">
        <f>IFERROR(MONTH(emp_db[[#This Row],[Exit Date]]),"")</f>
        <v>1</v>
      </c>
    </row>
    <row r="527" spans="2:22">
      <c r="B527" s="39"/>
      <c r="C527" s="39"/>
      <c r="D527" s="39"/>
      <c r="E527" s="39"/>
      <c r="F527" s="40"/>
      <c r="G527" s="38"/>
      <c r="H527" s="43"/>
      <c r="I527" s="43"/>
      <c r="J527" s="39"/>
      <c r="K527" s="38"/>
      <c r="L527" s="39"/>
      <c r="M527" s="39"/>
      <c r="N527" s="43"/>
      <c r="O527" s="38"/>
      <c r="P527" s="38"/>
      <c r="Q527" s="41" t="str">
        <f ca="1">IF(emp_db[[#This Row],[Exit Date]]&lt;&gt;"",(emp_db[[#This Row],[Exit Date]]-emp_db[[#This Row],[Column1]])/365,IF(emp_db[[#This Row],[ID]]&lt;&gt;"",(TODAY()-emp_db[[#This Row],[Column1]])/365,""))</f>
        <v/>
      </c>
      <c r="R527" s="42" t="str">
        <f ca="1">IF(emp_db[[#This Row],[Date of Birth]]&lt;&gt;"",(TODAY()-emp_db[[#This Row],[Date of Birth]])/365,"")</f>
        <v/>
      </c>
      <c r="S527" s="42">
        <f>YEAR(emp_db[[#This Row],[Column1]])</f>
        <v>1900</v>
      </c>
      <c r="T527" s="42">
        <f>MONTH(emp_db[[#This Row],[Column1]])</f>
        <v>1</v>
      </c>
      <c r="U527" s="42">
        <f>IFERROR(YEAR(emp_db[[#This Row],[Exit Date]]),"")</f>
        <v>1900</v>
      </c>
      <c r="V527" s="42">
        <f>IFERROR(MONTH(emp_db[[#This Row],[Exit Date]]),"")</f>
        <v>1</v>
      </c>
    </row>
    <row r="528" spans="2:22">
      <c r="B528" s="39"/>
      <c r="C528" s="39"/>
      <c r="D528" s="39"/>
      <c r="E528" s="39"/>
      <c r="F528" s="40"/>
      <c r="G528" s="38"/>
      <c r="H528" s="43"/>
      <c r="I528" s="43"/>
      <c r="J528" s="39"/>
      <c r="K528" s="38"/>
      <c r="L528" s="39"/>
      <c r="M528" s="39"/>
      <c r="N528" s="43"/>
      <c r="O528" s="38"/>
      <c r="P528" s="38"/>
      <c r="Q528" s="41" t="str">
        <f ca="1">IF(emp_db[[#This Row],[Exit Date]]&lt;&gt;"",(emp_db[[#This Row],[Exit Date]]-emp_db[[#This Row],[Column1]])/365,IF(emp_db[[#This Row],[ID]]&lt;&gt;"",(TODAY()-emp_db[[#This Row],[Column1]])/365,""))</f>
        <v/>
      </c>
      <c r="R528" s="42" t="str">
        <f ca="1">IF(emp_db[[#This Row],[Date of Birth]]&lt;&gt;"",(TODAY()-emp_db[[#This Row],[Date of Birth]])/365,"")</f>
        <v/>
      </c>
      <c r="S528" s="42">
        <f>YEAR(emp_db[[#This Row],[Column1]])</f>
        <v>1900</v>
      </c>
      <c r="T528" s="42">
        <f>MONTH(emp_db[[#This Row],[Column1]])</f>
        <v>1</v>
      </c>
      <c r="U528" s="42">
        <f>IFERROR(YEAR(emp_db[[#This Row],[Exit Date]]),"")</f>
        <v>1900</v>
      </c>
      <c r="V528" s="42">
        <f>IFERROR(MONTH(emp_db[[#This Row],[Exit Date]]),"")</f>
        <v>1</v>
      </c>
    </row>
    <row r="529" spans="2:22">
      <c r="B529" s="39"/>
      <c r="C529" s="39"/>
      <c r="D529" s="39"/>
      <c r="E529" s="39"/>
      <c r="F529" s="40"/>
      <c r="G529" s="38"/>
      <c r="H529" s="43"/>
      <c r="I529" s="43"/>
      <c r="J529" s="39"/>
      <c r="K529" s="38"/>
      <c r="L529" s="39"/>
      <c r="M529" s="39"/>
      <c r="N529" s="43"/>
      <c r="O529" s="38"/>
      <c r="P529" s="38"/>
      <c r="Q529" s="41" t="str">
        <f ca="1">IF(emp_db[[#This Row],[Exit Date]]&lt;&gt;"",(emp_db[[#This Row],[Exit Date]]-emp_db[[#This Row],[Column1]])/365,IF(emp_db[[#This Row],[ID]]&lt;&gt;"",(TODAY()-emp_db[[#This Row],[Column1]])/365,""))</f>
        <v/>
      </c>
      <c r="R529" s="42" t="str">
        <f ca="1">IF(emp_db[[#This Row],[Date of Birth]]&lt;&gt;"",(TODAY()-emp_db[[#This Row],[Date of Birth]])/365,"")</f>
        <v/>
      </c>
      <c r="S529" s="42">
        <f>YEAR(emp_db[[#This Row],[Column1]])</f>
        <v>1900</v>
      </c>
      <c r="T529" s="42">
        <f>MONTH(emp_db[[#This Row],[Column1]])</f>
        <v>1</v>
      </c>
      <c r="U529" s="42">
        <f>IFERROR(YEAR(emp_db[[#This Row],[Exit Date]]),"")</f>
        <v>1900</v>
      </c>
      <c r="V529" s="42">
        <f>IFERROR(MONTH(emp_db[[#This Row],[Exit Date]]),"")</f>
        <v>1</v>
      </c>
    </row>
    <row r="530" spans="2:22">
      <c r="B530" s="39"/>
      <c r="C530" s="39"/>
      <c r="D530" s="39"/>
      <c r="E530" s="39"/>
      <c r="F530" s="40"/>
      <c r="G530" s="38"/>
      <c r="H530" s="43"/>
      <c r="I530" s="43"/>
      <c r="J530" s="39"/>
      <c r="K530" s="38"/>
      <c r="L530" s="39"/>
      <c r="M530" s="39"/>
      <c r="N530" s="43"/>
      <c r="O530" s="38"/>
      <c r="P530" s="38"/>
      <c r="Q530" s="41" t="str">
        <f ca="1">IF(emp_db[[#This Row],[Exit Date]]&lt;&gt;"",(emp_db[[#This Row],[Exit Date]]-emp_db[[#This Row],[Column1]])/365,IF(emp_db[[#This Row],[ID]]&lt;&gt;"",(TODAY()-emp_db[[#This Row],[Column1]])/365,""))</f>
        <v/>
      </c>
      <c r="R530" s="42" t="str">
        <f ca="1">IF(emp_db[[#This Row],[Date of Birth]]&lt;&gt;"",(TODAY()-emp_db[[#This Row],[Date of Birth]])/365,"")</f>
        <v/>
      </c>
      <c r="S530" s="42">
        <f>YEAR(emp_db[[#This Row],[Column1]])</f>
        <v>1900</v>
      </c>
      <c r="T530" s="42">
        <f>MONTH(emp_db[[#This Row],[Column1]])</f>
        <v>1</v>
      </c>
      <c r="U530" s="42">
        <f>IFERROR(YEAR(emp_db[[#This Row],[Exit Date]]),"")</f>
        <v>1900</v>
      </c>
      <c r="V530" s="42">
        <f>IFERROR(MONTH(emp_db[[#This Row],[Exit Date]]),"")</f>
        <v>1</v>
      </c>
    </row>
    <row r="531" spans="2:22">
      <c r="B531" s="39"/>
      <c r="C531" s="39"/>
      <c r="D531" s="39"/>
      <c r="E531" s="39"/>
      <c r="F531" s="40"/>
      <c r="G531" s="38"/>
      <c r="H531" s="43"/>
      <c r="I531" s="43"/>
      <c r="J531" s="39"/>
      <c r="K531" s="38"/>
      <c r="L531" s="39"/>
      <c r="M531" s="39"/>
      <c r="N531" s="43"/>
      <c r="O531" s="38"/>
      <c r="P531" s="38"/>
      <c r="Q531" s="41" t="str">
        <f ca="1">IF(emp_db[[#This Row],[Exit Date]]&lt;&gt;"",(emp_db[[#This Row],[Exit Date]]-emp_db[[#This Row],[Column1]])/365,IF(emp_db[[#This Row],[ID]]&lt;&gt;"",(TODAY()-emp_db[[#This Row],[Column1]])/365,""))</f>
        <v/>
      </c>
      <c r="R531" s="42" t="str">
        <f ca="1">IF(emp_db[[#This Row],[Date of Birth]]&lt;&gt;"",(TODAY()-emp_db[[#This Row],[Date of Birth]])/365,"")</f>
        <v/>
      </c>
      <c r="S531" s="42">
        <f>YEAR(emp_db[[#This Row],[Column1]])</f>
        <v>1900</v>
      </c>
      <c r="T531" s="42">
        <f>MONTH(emp_db[[#This Row],[Column1]])</f>
        <v>1</v>
      </c>
      <c r="U531" s="42">
        <f>IFERROR(YEAR(emp_db[[#This Row],[Exit Date]]),"")</f>
        <v>1900</v>
      </c>
      <c r="V531" s="42">
        <f>IFERROR(MONTH(emp_db[[#This Row],[Exit Date]]),"")</f>
        <v>1</v>
      </c>
    </row>
    <row r="532" spans="2:22">
      <c r="B532" s="39"/>
      <c r="C532" s="39"/>
      <c r="D532" s="39"/>
      <c r="E532" s="39"/>
      <c r="F532" s="40"/>
      <c r="G532" s="38"/>
      <c r="H532" s="43"/>
      <c r="I532" s="43"/>
      <c r="J532" s="39"/>
      <c r="K532" s="38"/>
      <c r="L532" s="39"/>
      <c r="M532" s="39"/>
      <c r="N532" s="43"/>
      <c r="O532" s="38"/>
      <c r="P532" s="38"/>
      <c r="Q532" s="41" t="str">
        <f ca="1">IF(emp_db[[#This Row],[Exit Date]]&lt;&gt;"",(emp_db[[#This Row],[Exit Date]]-emp_db[[#This Row],[Column1]])/365,IF(emp_db[[#This Row],[ID]]&lt;&gt;"",(TODAY()-emp_db[[#This Row],[Column1]])/365,""))</f>
        <v/>
      </c>
      <c r="R532" s="42" t="str">
        <f ca="1">IF(emp_db[[#This Row],[Date of Birth]]&lt;&gt;"",(TODAY()-emp_db[[#This Row],[Date of Birth]])/365,"")</f>
        <v/>
      </c>
      <c r="S532" s="42">
        <f>YEAR(emp_db[[#This Row],[Column1]])</f>
        <v>1900</v>
      </c>
      <c r="T532" s="42">
        <f>MONTH(emp_db[[#This Row],[Column1]])</f>
        <v>1</v>
      </c>
      <c r="U532" s="42">
        <f>IFERROR(YEAR(emp_db[[#This Row],[Exit Date]]),"")</f>
        <v>1900</v>
      </c>
      <c r="V532" s="42">
        <f>IFERROR(MONTH(emp_db[[#This Row],[Exit Date]]),"")</f>
        <v>1</v>
      </c>
    </row>
    <row r="533" spans="2:22">
      <c r="B533" s="39"/>
      <c r="C533" s="39"/>
      <c r="D533" s="39"/>
      <c r="E533" s="39"/>
      <c r="F533" s="40"/>
      <c r="G533" s="38"/>
      <c r="H533" s="43"/>
      <c r="I533" s="43"/>
      <c r="J533" s="39"/>
      <c r="K533" s="38"/>
      <c r="L533" s="39"/>
      <c r="M533" s="39"/>
      <c r="N533" s="43"/>
      <c r="O533" s="38"/>
      <c r="P533" s="38"/>
      <c r="Q533" s="41" t="str">
        <f ca="1">IF(emp_db[[#This Row],[Exit Date]]&lt;&gt;"",(emp_db[[#This Row],[Exit Date]]-emp_db[[#This Row],[Column1]])/365,IF(emp_db[[#This Row],[ID]]&lt;&gt;"",(TODAY()-emp_db[[#This Row],[Column1]])/365,""))</f>
        <v/>
      </c>
      <c r="R533" s="42" t="str">
        <f ca="1">IF(emp_db[[#This Row],[Date of Birth]]&lt;&gt;"",(TODAY()-emp_db[[#This Row],[Date of Birth]])/365,"")</f>
        <v/>
      </c>
      <c r="S533" s="42">
        <f>YEAR(emp_db[[#This Row],[Column1]])</f>
        <v>1900</v>
      </c>
      <c r="T533" s="42">
        <f>MONTH(emp_db[[#This Row],[Column1]])</f>
        <v>1</v>
      </c>
      <c r="U533" s="42">
        <f>IFERROR(YEAR(emp_db[[#This Row],[Exit Date]]),"")</f>
        <v>1900</v>
      </c>
      <c r="V533" s="42">
        <f>IFERROR(MONTH(emp_db[[#This Row],[Exit Date]]),"")</f>
        <v>1</v>
      </c>
    </row>
    <row r="534" spans="2:22">
      <c r="B534" s="39"/>
      <c r="C534" s="39"/>
      <c r="D534" s="39"/>
      <c r="E534" s="39"/>
      <c r="F534" s="40"/>
      <c r="G534" s="38"/>
      <c r="H534" s="43"/>
      <c r="I534" s="43"/>
      <c r="J534" s="39"/>
      <c r="K534" s="38"/>
      <c r="L534" s="39"/>
      <c r="M534" s="39"/>
      <c r="N534" s="43"/>
      <c r="O534" s="38"/>
      <c r="P534" s="38"/>
      <c r="Q534" s="41" t="str">
        <f ca="1">IF(emp_db[[#This Row],[Exit Date]]&lt;&gt;"",(emp_db[[#This Row],[Exit Date]]-emp_db[[#This Row],[Column1]])/365,IF(emp_db[[#This Row],[ID]]&lt;&gt;"",(TODAY()-emp_db[[#This Row],[Column1]])/365,""))</f>
        <v/>
      </c>
      <c r="R534" s="42" t="str">
        <f ca="1">IF(emp_db[[#This Row],[Date of Birth]]&lt;&gt;"",(TODAY()-emp_db[[#This Row],[Date of Birth]])/365,"")</f>
        <v/>
      </c>
      <c r="S534" s="42">
        <f>YEAR(emp_db[[#This Row],[Column1]])</f>
        <v>1900</v>
      </c>
      <c r="T534" s="42">
        <f>MONTH(emp_db[[#This Row],[Column1]])</f>
        <v>1</v>
      </c>
      <c r="U534" s="42">
        <f>IFERROR(YEAR(emp_db[[#This Row],[Exit Date]]),"")</f>
        <v>1900</v>
      </c>
      <c r="V534" s="42">
        <f>IFERROR(MONTH(emp_db[[#This Row],[Exit Date]]),"")</f>
        <v>1</v>
      </c>
    </row>
    <row r="535" spans="2:22">
      <c r="B535" s="39"/>
      <c r="C535" s="39"/>
      <c r="D535" s="39"/>
      <c r="E535" s="39"/>
      <c r="F535" s="40"/>
      <c r="G535" s="38"/>
      <c r="H535" s="43"/>
      <c r="I535" s="43"/>
      <c r="J535" s="39"/>
      <c r="K535" s="38"/>
      <c r="L535" s="39"/>
      <c r="M535" s="39"/>
      <c r="N535" s="43"/>
      <c r="O535" s="38"/>
      <c r="P535" s="38"/>
      <c r="Q535" s="41" t="str">
        <f ca="1">IF(emp_db[[#This Row],[Exit Date]]&lt;&gt;"",(emp_db[[#This Row],[Exit Date]]-emp_db[[#This Row],[Column1]])/365,IF(emp_db[[#This Row],[ID]]&lt;&gt;"",(TODAY()-emp_db[[#This Row],[Column1]])/365,""))</f>
        <v/>
      </c>
      <c r="R535" s="42" t="str">
        <f ca="1">IF(emp_db[[#This Row],[Date of Birth]]&lt;&gt;"",(TODAY()-emp_db[[#This Row],[Date of Birth]])/365,"")</f>
        <v/>
      </c>
      <c r="S535" s="42">
        <f>YEAR(emp_db[[#This Row],[Column1]])</f>
        <v>1900</v>
      </c>
      <c r="T535" s="42">
        <f>MONTH(emp_db[[#This Row],[Column1]])</f>
        <v>1</v>
      </c>
      <c r="U535" s="42">
        <f>IFERROR(YEAR(emp_db[[#This Row],[Exit Date]]),"")</f>
        <v>1900</v>
      </c>
      <c r="V535" s="42">
        <f>IFERROR(MONTH(emp_db[[#This Row],[Exit Date]]),"")</f>
        <v>1</v>
      </c>
    </row>
    <row r="536" spans="2:22">
      <c r="B536" s="39"/>
      <c r="C536" s="39"/>
      <c r="D536" s="39"/>
      <c r="E536" s="39"/>
      <c r="F536" s="40"/>
      <c r="G536" s="38"/>
      <c r="H536" s="43"/>
      <c r="I536" s="43"/>
      <c r="J536" s="39"/>
      <c r="K536" s="38"/>
      <c r="L536" s="39"/>
      <c r="M536" s="39"/>
      <c r="N536" s="43"/>
      <c r="O536" s="38"/>
      <c r="P536" s="38"/>
      <c r="Q536" s="41" t="str">
        <f ca="1">IF(emp_db[[#This Row],[Exit Date]]&lt;&gt;"",(emp_db[[#This Row],[Exit Date]]-emp_db[[#This Row],[Column1]])/365,IF(emp_db[[#This Row],[ID]]&lt;&gt;"",(TODAY()-emp_db[[#This Row],[Column1]])/365,""))</f>
        <v/>
      </c>
      <c r="R536" s="42" t="str">
        <f ca="1">IF(emp_db[[#This Row],[Date of Birth]]&lt;&gt;"",(TODAY()-emp_db[[#This Row],[Date of Birth]])/365,"")</f>
        <v/>
      </c>
      <c r="S536" s="42">
        <f>YEAR(emp_db[[#This Row],[Column1]])</f>
        <v>1900</v>
      </c>
      <c r="T536" s="42">
        <f>MONTH(emp_db[[#This Row],[Column1]])</f>
        <v>1</v>
      </c>
      <c r="U536" s="42">
        <f>IFERROR(YEAR(emp_db[[#This Row],[Exit Date]]),"")</f>
        <v>1900</v>
      </c>
      <c r="V536" s="42">
        <f>IFERROR(MONTH(emp_db[[#This Row],[Exit Date]]),"")</f>
        <v>1</v>
      </c>
    </row>
    <row r="537" spans="2:22">
      <c r="B537" s="39"/>
      <c r="C537" s="39"/>
      <c r="D537" s="39"/>
      <c r="E537" s="39"/>
      <c r="F537" s="40"/>
      <c r="G537" s="38"/>
      <c r="H537" s="43"/>
      <c r="I537" s="43"/>
      <c r="J537" s="39"/>
      <c r="K537" s="38"/>
      <c r="L537" s="39"/>
      <c r="M537" s="39"/>
      <c r="N537" s="43"/>
      <c r="O537" s="38"/>
      <c r="P537" s="38"/>
      <c r="Q537" s="41" t="str">
        <f ca="1">IF(emp_db[[#This Row],[Exit Date]]&lt;&gt;"",(emp_db[[#This Row],[Exit Date]]-emp_db[[#This Row],[Column1]])/365,IF(emp_db[[#This Row],[ID]]&lt;&gt;"",(TODAY()-emp_db[[#This Row],[Column1]])/365,""))</f>
        <v/>
      </c>
      <c r="R537" s="42" t="str">
        <f ca="1">IF(emp_db[[#This Row],[Date of Birth]]&lt;&gt;"",(TODAY()-emp_db[[#This Row],[Date of Birth]])/365,"")</f>
        <v/>
      </c>
      <c r="S537" s="42">
        <f>YEAR(emp_db[[#This Row],[Column1]])</f>
        <v>1900</v>
      </c>
      <c r="T537" s="42">
        <f>MONTH(emp_db[[#This Row],[Column1]])</f>
        <v>1</v>
      </c>
      <c r="U537" s="42">
        <f>IFERROR(YEAR(emp_db[[#This Row],[Exit Date]]),"")</f>
        <v>1900</v>
      </c>
      <c r="V537" s="42">
        <f>IFERROR(MONTH(emp_db[[#This Row],[Exit Date]]),"")</f>
        <v>1</v>
      </c>
    </row>
    <row r="538" spans="2:22">
      <c r="B538" s="39"/>
      <c r="C538" s="39"/>
      <c r="D538" s="39"/>
      <c r="E538" s="39"/>
      <c r="F538" s="40"/>
      <c r="G538" s="38"/>
      <c r="H538" s="43"/>
      <c r="I538" s="43"/>
      <c r="J538" s="39"/>
      <c r="K538" s="38"/>
      <c r="L538" s="39"/>
      <c r="M538" s="39"/>
      <c r="N538" s="43"/>
      <c r="O538" s="38"/>
      <c r="P538" s="38"/>
      <c r="Q538" s="41" t="str">
        <f ca="1">IF(emp_db[[#This Row],[Exit Date]]&lt;&gt;"",(emp_db[[#This Row],[Exit Date]]-emp_db[[#This Row],[Column1]])/365,IF(emp_db[[#This Row],[ID]]&lt;&gt;"",(TODAY()-emp_db[[#This Row],[Column1]])/365,""))</f>
        <v/>
      </c>
      <c r="R538" s="42" t="str">
        <f ca="1">IF(emp_db[[#This Row],[Date of Birth]]&lt;&gt;"",(TODAY()-emp_db[[#This Row],[Date of Birth]])/365,"")</f>
        <v/>
      </c>
      <c r="S538" s="42">
        <f>YEAR(emp_db[[#This Row],[Column1]])</f>
        <v>1900</v>
      </c>
      <c r="T538" s="42">
        <f>MONTH(emp_db[[#This Row],[Column1]])</f>
        <v>1</v>
      </c>
      <c r="U538" s="42">
        <f>IFERROR(YEAR(emp_db[[#This Row],[Exit Date]]),"")</f>
        <v>1900</v>
      </c>
      <c r="V538" s="42">
        <f>IFERROR(MONTH(emp_db[[#This Row],[Exit Date]]),"")</f>
        <v>1</v>
      </c>
    </row>
    <row r="539" spans="2:22">
      <c r="B539" s="39"/>
      <c r="C539" s="39"/>
      <c r="D539" s="39"/>
      <c r="E539" s="39"/>
      <c r="F539" s="40"/>
      <c r="G539" s="38"/>
      <c r="H539" s="43"/>
      <c r="I539" s="43"/>
      <c r="J539" s="39"/>
      <c r="K539" s="38"/>
      <c r="L539" s="39"/>
      <c r="M539" s="39"/>
      <c r="N539" s="43"/>
      <c r="O539" s="38"/>
      <c r="P539" s="38"/>
      <c r="Q539" s="41" t="str">
        <f ca="1">IF(emp_db[[#This Row],[Exit Date]]&lt;&gt;"",(emp_db[[#This Row],[Exit Date]]-emp_db[[#This Row],[Column1]])/365,IF(emp_db[[#This Row],[ID]]&lt;&gt;"",(TODAY()-emp_db[[#This Row],[Column1]])/365,""))</f>
        <v/>
      </c>
      <c r="R539" s="42" t="str">
        <f ca="1">IF(emp_db[[#This Row],[Date of Birth]]&lt;&gt;"",(TODAY()-emp_db[[#This Row],[Date of Birth]])/365,"")</f>
        <v/>
      </c>
      <c r="S539" s="42">
        <f>YEAR(emp_db[[#This Row],[Column1]])</f>
        <v>1900</v>
      </c>
      <c r="T539" s="42">
        <f>MONTH(emp_db[[#This Row],[Column1]])</f>
        <v>1</v>
      </c>
      <c r="U539" s="42">
        <f>IFERROR(YEAR(emp_db[[#This Row],[Exit Date]]),"")</f>
        <v>1900</v>
      </c>
      <c r="V539" s="42">
        <f>IFERROR(MONTH(emp_db[[#This Row],[Exit Date]]),"")</f>
        <v>1</v>
      </c>
    </row>
    <row r="540" spans="2:22">
      <c r="B540" s="39"/>
      <c r="C540" s="39"/>
      <c r="D540" s="39"/>
      <c r="E540" s="39"/>
      <c r="F540" s="40"/>
      <c r="G540" s="38"/>
      <c r="H540" s="43"/>
      <c r="I540" s="43"/>
      <c r="J540" s="39"/>
      <c r="K540" s="38"/>
      <c r="L540" s="39"/>
      <c r="M540" s="39"/>
      <c r="N540" s="43"/>
      <c r="O540" s="38"/>
      <c r="P540" s="38"/>
      <c r="Q540" s="41" t="str">
        <f ca="1">IF(emp_db[[#This Row],[Exit Date]]&lt;&gt;"",(emp_db[[#This Row],[Exit Date]]-emp_db[[#This Row],[Column1]])/365,IF(emp_db[[#This Row],[ID]]&lt;&gt;"",(TODAY()-emp_db[[#This Row],[Column1]])/365,""))</f>
        <v/>
      </c>
      <c r="R540" s="42" t="str">
        <f ca="1">IF(emp_db[[#This Row],[Date of Birth]]&lt;&gt;"",(TODAY()-emp_db[[#This Row],[Date of Birth]])/365,"")</f>
        <v/>
      </c>
      <c r="S540" s="42">
        <f>YEAR(emp_db[[#This Row],[Column1]])</f>
        <v>1900</v>
      </c>
      <c r="T540" s="42">
        <f>MONTH(emp_db[[#This Row],[Column1]])</f>
        <v>1</v>
      </c>
      <c r="U540" s="42">
        <f>IFERROR(YEAR(emp_db[[#This Row],[Exit Date]]),"")</f>
        <v>1900</v>
      </c>
      <c r="V540" s="42">
        <f>IFERROR(MONTH(emp_db[[#This Row],[Exit Date]]),"")</f>
        <v>1</v>
      </c>
    </row>
    <row r="541" spans="2:22">
      <c r="B541" s="39"/>
      <c r="C541" s="39"/>
      <c r="D541" s="39"/>
      <c r="E541" s="39"/>
      <c r="F541" s="40"/>
      <c r="G541" s="38"/>
      <c r="H541" s="43"/>
      <c r="I541" s="43"/>
      <c r="J541" s="39"/>
      <c r="K541" s="38"/>
      <c r="L541" s="39"/>
      <c r="M541" s="39"/>
      <c r="N541" s="43"/>
      <c r="O541" s="38"/>
      <c r="P541" s="38"/>
      <c r="Q541" s="41" t="str">
        <f ca="1">IF(emp_db[[#This Row],[Exit Date]]&lt;&gt;"",(emp_db[[#This Row],[Exit Date]]-emp_db[[#This Row],[Column1]])/365,IF(emp_db[[#This Row],[ID]]&lt;&gt;"",(TODAY()-emp_db[[#This Row],[Column1]])/365,""))</f>
        <v/>
      </c>
      <c r="R541" s="42" t="str">
        <f ca="1">IF(emp_db[[#This Row],[Date of Birth]]&lt;&gt;"",(TODAY()-emp_db[[#This Row],[Date of Birth]])/365,"")</f>
        <v/>
      </c>
      <c r="S541" s="42">
        <f>YEAR(emp_db[[#This Row],[Column1]])</f>
        <v>1900</v>
      </c>
      <c r="T541" s="42">
        <f>MONTH(emp_db[[#This Row],[Column1]])</f>
        <v>1</v>
      </c>
      <c r="U541" s="42">
        <f>IFERROR(YEAR(emp_db[[#This Row],[Exit Date]]),"")</f>
        <v>1900</v>
      </c>
      <c r="V541" s="42">
        <f>IFERROR(MONTH(emp_db[[#This Row],[Exit Date]]),"")</f>
        <v>1</v>
      </c>
    </row>
    <row r="542" spans="2:22">
      <c r="B542" s="39"/>
      <c r="C542" s="39"/>
      <c r="D542" s="39"/>
      <c r="E542" s="39"/>
      <c r="F542" s="40"/>
      <c r="G542" s="38"/>
      <c r="H542" s="43"/>
      <c r="I542" s="43"/>
      <c r="J542" s="39"/>
      <c r="K542" s="38"/>
      <c r="L542" s="39"/>
      <c r="M542" s="39"/>
      <c r="N542" s="43"/>
      <c r="O542" s="38"/>
      <c r="P542" s="38"/>
      <c r="Q542" s="41" t="str">
        <f ca="1">IF(emp_db[[#This Row],[Exit Date]]&lt;&gt;"",(emp_db[[#This Row],[Exit Date]]-emp_db[[#This Row],[Column1]])/365,IF(emp_db[[#This Row],[ID]]&lt;&gt;"",(TODAY()-emp_db[[#This Row],[Column1]])/365,""))</f>
        <v/>
      </c>
      <c r="R542" s="42" t="str">
        <f ca="1">IF(emp_db[[#This Row],[Date of Birth]]&lt;&gt;"",(TODAY()-emp_db[[#This Row],[Date of Birth]])/365,"")</f>
        <v/>
      </c>
      <c r="S542" s="42">
        <f>YEAR(emp_db[[#This Row],[Column1]])</f>
        <v>1900</v>
      </c>
      <c r="T542" s="42">
        <f>MONTH(emp_db[[#This Row],[Column1]])</f>
        <v>1</v>
      </c>
      <c r="U542" s="42">
        <f>IFERROR(YEAR(emp_db[[#This Row],[Exit Date]]),"")</f>
        <v>1900</v>
      </c>
      <c r="V542" s="42">
        <f>IFERROR(MONTH(emp_db[[#This Row],[Exit Date]]),"")</f>
        <v>1</v>
      </c>
    </row>
    <row r="543" spans="2:22">
      <c r="B543" s="39"/>
      <c r="C543" s="39"/>
      <c r="D543" s="39"/>
      <c r="E543" s="39"/>
      <c r="F543" s="40"/>
      <c r="G543" s="38"/>
      <c r="H543" s="43"/>
      <c r="I543" s="43"/>
      <c r="J543" s="39"/>
      <c r="K543" s="38"/>
      <c r="L543" s="39"/>
      <c r="M543" s="39"/>
      <c r="N543" s="43"/>
      <c r="O543" s="38"/>
      <c r="P543" s="38"/>
      <c r="Q543" s="41" t="str">
        <f ca="1">IF(emp_db[[#This Row],[Exit Date]]&lt;&gt;"",(emp_db[[#This Row],[Exit Date]]-emp_db[[#This Row],[Column1]])/365,IF(emp_db[[#This Row],[ID]]&lt;&gt;"",(TODAY()-emp_db[[#This Row],[Column1]])/365,""))</f>
        <v/>
      </c>
      <c r="R543" s="42" t="str">
        <f ca="1">IF(emp_db[[#This Row],[Date of Birth]]&lt;&gt;"",(TODAY()-emp_db[[#This Row],[Date of Birth]])/365,"")</f>
        <v/>
      </c>
      <c r="S543" s="42">
        <f>YEAR(emp_db[[#This Row],[Column1]])</f>
        <v>1900</v>
      </c>
      <c r="T543" s="42">
        <f>MONTH(emp_db[[#This Row],[Column1]])</f>
        <v>1</v>
      </c>
      <c r="U543" s="42">
        <f>IFERROR(YEAR(emp_db[[#This Row],[Exit Date]]),"")</f>
        <v>1900</v>
      </c>
      <c r="V543" s="42">
        <f>IFERROR(MONTH(emp_db[[#This Row],[Exit Date]]),"")</f>
        <v>1</v>
      </c>
    </row>
    <row r="544" spans="2:22">
      <c r="B544" s="39"/>
      <c r="C544" s="39"/>
      <c r="D544" s="39"/>
      <c r="E544" s="39"/>
      <c r="F544" s="40"/>
      <c r="G544" s="38"/>
      <c r="H544" s="43"/>
      <c r="I544" s="43"/>
      <c r="J544" s="39"/>
      <c r="K544" s="38"/>
      <c r="L544" s="39"/>
      <c r="M544" s="39"/>
      <c r="N544" s="43"/>
      <c r="O544" s="38"/>
      <c r="P544" s="38"/>
      <c r="Q544" s="41" t="str">
        <f ca="1">IF(emp_db[[#This Row],[Exit Date]]&lt;&gt;"",(emp_db[[#This Row],[Exit Date]]-emp_db[[#This Row],[Column1]])/365,IF(emp_db[[#This Row],[ID]]&lt;&gt;"",(TODAY()-emp_db[[#This Row],[Column1]])/365,""))</f>
        <v/>
      </c>
      <c r="R544" s="42" t="str">
        <f ca="1">IF(emp_db[[#This Row],[Date of Birth]]&lt;&gt;"",(TODAY()-emp_db[[#This Row],[Date of Birth]])/365,"")</f>
        <v/>
      </c>
      <c r="S544" s="42">
        <f>YEAR(emp_db[[#This Row],[Column1]])</f>
        <v>1900</v>
      </c>
      <c r="T544" s="42">
        <f>MONTH(emp_db[[#This Row],[Column1]])</f>
        <v>1</v>
      </c>
      <c r="U544" s="42">
        <f>IFERROR(YEAR(emp_db[[#This Row],[Exit Date]]),"")</f>
        <v>1900</v>
      </c>
      <c r="V544" s="42">
        <f>IFERROR(MONTH(emp_db[[#This Row],[Exit Date]]),"")</f>
        <v>1</v>
      </c>
    </row>
    <row r="545" spans="2:22">
      <c r="B545" s="39"/>
      <c r="C545" s="39"/>
      <c r="D545" s="39"/>
      <c r="E545" s="39"/>
      <c r="F545" s="40"/>
      <c r="G545" s="38"/>
      <c r="H545" s="43"/>
      <c r="I545" s="43"/>
      <c r="J545" s="39"/>
      <c r="K545" s="38"/>
      <c r="L545" s="39"/>
      <c r="M545" s="39"/>
      <c r="N545" s="43"/>
      <c r="O545" s="38"/>
      <c r="P545" s="38"/>
      <c r="Q545" s="41" t="str">
        <f ca="1">IF(emp_db[[#This Row],[Exit Date]]&lt;&gt;"",(emp_db[[#This Row],[Exit Date]]-emp_db[[#This Row],[Column1]])/365,IF(emp_db[[#This Row],[ID]]&lt;&gt;"",(TODAY()-emp_db[[#This Row],[Column1]])/365,""))</f>
        <v/>
      </c>
      <c r="R545" s="42" t="str">
        <f ca="1">IF(emp_db[[#This Row],[Date of Birth]]&lt;&gt;"",(TODAY()-emp_db[[#This Row],[Date of Birth]])/365,"")</f>
        <v/>
      </c>
      <c r="S545" s="42">
        <f>YEAR(emp_db[[#This Row],[Column1]])</f>
        <v>1900</v>
      </c>
      <c r="T545" s="42">
        <f>MONTH(emp_db[[#This Row],[Column1]])</f>
        <v>1</v>
      </c>
      <c r="U545" s="42">
        <f>IFERROR(YEAR(emp_db[[#This Row],[Exit Date]]),"")</f>
        <v>1900</v>
      </c>
      <c r="V545" s="42">
        <f>IFERROR(MONTH(emp_db[[#This Row],[Exit Date]]),"")</f>
        <v>1</v>
      </c>
    </row>
    <row r="546" spans="2:22">
      <c r="B546" s="39"/>
      <c r="C546" s="39"/>
      <c r="D546" s="39"/>
      <c r="E546" s="39"/>
      <c r="F546" s="40"/>
      <c r="G546" s="38"/>
      <c r="H546" s="43"/>
      <c r="I546" s="43"/>
      <c r="J546" s="39"/>
      <c r="K546" s="38"/>
      <c r="L546" s="39"/>
      <c r="M546" s="39"/>
      <c r="N546" s="43"/>
      <c r="O546" s="38"/>
      <c r="P546" s="38"/>
      <c r="Q546" s="41" t="str">
        <f ca="1">IF(emp_db[[#This Row],[Exit Date]]&lt;&gt;"",(emp_db[[#This Row],[Exit Date]]-emp_db[[#This Row],[Column1]])/365,IF(emp_db[[#This Row],[ID]]&lt;&gt;"",(TODAY()-emp_db[[#This Row],[Column1]])/365,""))</f>
        <v/>
      </c>
      <c r="R546" s="42" t="str">
        <f ca="1">IF(emp_db[[#This Row],[Date of Birth]]&lt;&gt;"",(TODAY()-emp_db[[#This Row],[Date of Birth]])/365,"")</f>
        <v/>
      </c>
      <c r="S546" s="42">
        <f>YEAR(emp_db[[#This Row],[Column1]])</f>
        <v>1900</v>
      </c>
      <c r="T546" s="42">
        <f>MONTH(emp_db[[#This Row],[Column1]])</f>
        <v>1</v>
      </c>
      <c r="U546" s="42">
        <f>IFERROR(YEAR(emp_db[[#This Row],[Exit Date]]),"")</f>
        <v>1900</v>
      </c>
      <c r="V546" s="42">
        <f>IFERROR(MONTH(emp_db[[#This Row],[Exit Date]]),"")</f>
        <v>1</v>
      </c>
    </row>
    <row r="547" spans="2:22">
      <c r="B547" s="39"/>
      <c r="C547" s="39"/>
      <c r="D547" s="39"/>
      <c r="E547" s="39"/>
      <c r="F547" s="40"/>
      <c r="G547" s="38"/>
      <c r="H547" s="43"/>
      <c r="I547" s="43"/>
      <c r="J547" s="39"/>
      <c r="K547" s="38"/>
      <c r="L547" s="39"/>
      <c r="M547" s="39"/>
      <c r="N547" s="43"/>
      <c r="O547" s="38"/>
      <c r="P547" s="38"/>
      <c r="Q547" s="41" t="str">
        <f ca="1">IF(emp_db[[#This Row],[Exit Date]]&lt;&gt;"",(emp_db[[#This Row],[Exit Date]]-emp_db[[#This Row],[Column1]])/365,IF(emp_db[[#This Row],[ID]]&lt;&gt;"",(TODAY()-emp_db[[#This Row],[Column1]])/365,""))</f>
        <v/>
      </c>
      <c r="R547" s="42" t="str">
        <f ca="1">IF(emp_db[[#This Row],[Date of Birth]]&lt;&gt;"",(TODAY()-emp_db[[#This Row],[Date of Birth]])/365,"")</f>
        <v/>
      </c>
      <c r="S547" s="42">
        <f>YEAR(emp_db[[#This Row],[Column1]])</f>
        <v>1900</v>
      </c>
      <c r="T547" s="42">
        <f>MONTH(emp_db[[#This Row],[Column1]])</f>
        <v>1</v>
      </c>
      <c r="U547" s="42">
        <f>IFERROR(YEAR(emp_db[[#This Row],[Exit Date]]),"")</f>
        <v>1900</v>
      </c>
      <c r="V547" s="42">
        <f>IFERROR(MONTH(emp_db[[#This Row],[Exit Date]]),"")</f>
        <v>1</v>
      </c>
    </row>
    <row r="548" spans="2:22">
      <c r="B548" s="39"/>
      <c r="C548" s="39"/>
      <c r="D548" s="39"/>
      <c r="E548" s="39"/>
      <c r="F548" s="40"/>
      <c r="G548" s="38"/>
      <c r="H548" s="43"/>
      <c r="I548" s="43"/>
      <c r="J548" s="39"/>
      <c r="K548" s="38"/>
      <c r="L548" s="39"/>
      <c r="M548" s="39"/>
      <c r="N548" s="43"/>
      <c r="O548" s="38"/>
      <c r="P548" s="38"/>
      <c r="Q548" s="41" t="str">
        <f ca="1">IF(emp_db[[#This Row],[Exit Date]]&lt;&gt;"",(emp_db[[#This Row],[Exit Date]]-emp_db[[#This Row],[Column1]])/365,IF(emp_db[[#This Row],[ID]]&lt;&gt;"",(TODAY()-emp_db[[#This Row],[Column1]])/365,""))</f>
        <v/>
      </c>
      <c r="R548" s="42" t="str">
        <f ca="1">IF(emp_db[[#This Row],[Date of Birth]]&lt;&gt;"",(TODAY()-emp_db[[#This Row],[Date of Birth]])/365,"")</f>
        <v/>
      </c>
      <c r="S548" s="42">
        <f>YEAR(emp_db[[#This Row],[Column1]])</f>
        <v>1900</v>
      </c>
      <c r="T548" s="42">
        <f>MONTH(emp_db[[#This Row],[Column1]])</f>
        <v>1</v>
      </c>
      <c r="U548" s="42">
        <f>IFERROR(YEAR(emp_db[[#This Row],[Exit Date]]),"")</f>
        <v>1900</v>
      </c>
      <c r="V548" s="42">
        <f>IFERROR(MONTH(emp_db[[#This Row],[Exit Date]]),"")</f>
        <v>1</v>
      </c>
    </row>
    <row r="549" spans="2:22">
      <c r="B549" s="39"/>
      <c r="C549" s="39"/>
      <c r="D549" s="39"/>
      <c r="E549" s="39"/>
      <c r="F549" s="40"/>
      <c r="G549" s="38"/>
      <c r="H549" s="43"/>
      <c r="I549" s="43"/>
      <c r="J549" s="39"/>
      <c r="K549" s="38"/>
      <c r="L549" s="39"/>
      <c r="M549" s="39"/>
      <c r="N549" s="43"/>
      <c r="O549" s="38"/>
      <c r="P549" s="38"/>
      <c r="Q549" s="41" t="str">
        <f ca="1">IF(emp_db[[#This Row],[Exit Date]]&lt;&gt;"",(emp_db[[#This Row],[Exit Date]]-emp_db[[#This Row],[Column1]])/365,IF(emp_db[[#This Row],[ID]]&lt;&gt;"",(TODAY()-emp_db[[#This Row],[Column1]])/365,""))</f>
        <v/>
      </c>
      <c r="R549" s="42" t="str">
        <f ca="1">IF(emp_db[[#This Row],[Date of Birth]]&lt;&gt;"",(TODAY()-emp_db[[#This Row],[Date of Birth]])/365,"")</f>
        <v/>
      </c>
      <c r="S549" s="42">
        <f>YEAR(emp_db[[#This Row],[Column1]])</f>
        <v>1900</v>
      </c>
      <c r="T549" s="42">
        <f>MONTH(emp_db[[#This Row],[Column1]])</f>
        <v>1</v>
      </c>
      <c r="U549" s="42">
        <f>IFERROR(YEAR(emp_db[[#This Row],[Exit Date]]),"")</f>
        <v>1900</v>
      </c>
      <c r="V549" s="42">
        <f>IFERROR(MONTH(emp_db[[#This Row],[Exit Date]]),"")</f>
        <v>1</v>
      </c>
    </row>
    <row r="550" spans="2:22">
      <c r="B550" s="39"/>
      <c r="C550" s="39"/>
      <c r="D550" s="39"/>
      <c r="E550" s="39"/>
      <c r="F550" s="40"/>
      <c r="G550" s="38"/>
      <c r="H550" s="43"/>
      <c r="I550" s="43"/>
      <c r="J550" s="39"/>
      <c r="K550" s="38"/>
      <c r="L550" s="39"/>
      <c r="M550" s="39"/>
      <c r="N550" s="43"/>
      <c r="O550" s="38"/>
      <c r="P550" s="38"/>
      <c r="Q550" s="41" t="str">
        <f ca="1">IF(emp_db[[#This Row],[Exit Date]]&lt;&gt;"",(emp_db[[#This Row],[Exit Date]]-emp_db[[#This Row],[Column1]])/365,IF(emp_db[[#This Row],[ID]]&lt;&gt;"",(TODAY()-emp_db[[#This Row],[Column1]])/365,""))</f>
        <v/>
      </c>
      <c r="R550" s="42" t="str">
        <f ca="1">IF(emp_db[[#This Row],[Date of Birth]]&lt;&gt;"",(TODAY()-emp_db[[#This Row],[Date of Birth]])/365,"")</f>
        <v/>
      </c>
      <c r="S550" s="42">
        <f>YEAR(emp_db[[#This Row],[Column1]])</f>
        <v>1900</v>
      </c>
      <c r="T550" s="42">
        <f>MONTH(emp_db[[#This Row],[Column1]])</f>
        <v>1</v>
      </c>
      <c r="U550" s="42">
        <f>IFERROR(YEAR(emp_db[[#This Row],[Exit Date]]),"")</f>
        <v>1900</v>
      </c>
      <c r="V550" s="42">
        <f>IFERROR(MONTH(emp_db[[#This Row],[Exit Date]]),"")</f>
        <v>1</v>
      </c>
    </row>
    <row r="551" spans="2:22">
      <c r="B551" s="39"/>
      <c r="C551" s="39"/>
      <c r="D551" s="39"/>
      <c r="E551" s="39"/>
      <c r="F551" s="40"/>
      <c r="G551" s="38"/>
      <c r="H551" s="43"/>
      <c r="I551" s="43"/>
      <c r="J551" s="39"/>
      <c r="K551" s="38"/>
      <c r="L551" s="39"/>
      <c r="M551" s="39"/>
      <c r="N551" s="43"/>
      <c r="O551" s="38"/>
      <c r="P551" s="38"/>
      <c r="Q551" s="41" t="str">
        <f ca="1">IF(emp_db[[#This Row],[Exit Date]]&lt;&gt;"",(emp_db[[#This Row],[Exit Date]]-emp_db[[#This Row],[Column1]])/365,IF(emp_db[[#This Row],[ID]]&lt;&gt;"",(TODAY()-emp_db[[#This Row],[Column1]])/365,""))</f>
        <v/>
      </c>
      <c r="R551" s="42" t="str">
        <f ca="1">IF(emp_db[[#This Row],[Date of Birth]]&lt;&gt;"",(TODAY()-emp_db[[#This Row],[Date of Birth]])/365,"")</f>
        <v/>
      </c>
      <c r="S551" s="42">
        <f>YEAR(emp_db[[#This Row],[Column1]])</f>
        <v>1900</v>
      </c>
      <c r="T551" s="42">
        <f>MONTH(emp_db[[#This Row],[Column1]])</f>
        <v>1</v>
      </c>
      <c r="U551" s="42">
        <f>IFERROR(YEAR(emp_db[[#This Row],[Exit Date]]),"")</f>
        <v>1900</v>
      </c>
      <c r="V551" s="42">
        <f>IFERROR(MONTH(emp_db[[#This Row],[Exit Date]]),"")</f>
        <v>1</v>
      </c>
    </row>
    <row r="552" spans="2:22">
      <c r="B552" s="39"/>
      <c r="C552" s="39"/>
      <c r="D552" s="39"/>
      <c r="E552" s="39"/>
      <c r="F552" s="40"/>
      <c r="G552" s="38"/>
      <c r="H552" s="43"/>
      <c r="I552" s="43"/>
      <c r="J552" s="39"/>
      <c r="K552" s="38"/>
      <c r="L552" s="39"/>
      <c r="M552" s="39"/>
      <c r="N552" s="43"/>
      <c r="O552" s="38"/>
      <c r="P552" s="38"/>
      <c r="Q552" s="41" t="str">
        <f ca="1">IF(emp_db[[#This Row],[Exit Date]]&lt;&gt;"",(emp_db[[#This Row],[Exit Date]]-emp_db[[#This Row],[Column1]])/365,IF(emp_db[[#This Row],[ID]]&lt;&gt;"",(TODAY()-emp_db[[#This Row],[Column1]])/365,""))</f>
        <v/>
      </c>
      <c r="R552" s="42" t="str">
        <f ca="1">IF(emp_db[[#This Row],[Date of Birth]]&lt;&gt;"",(TODAY()-emp_db[[#This Row],[Date of Birth]])/365,"")</f>
        <v/>
      </c>
      <c r="S552" s="42">
        <f>YEAR(emp_db[[#This Row],[Column1]])</f>
        <v>1900</v>
      </c>
      <c r="T552" s="42">
        <f>MONTH(emp_db[[#This Row],[Column1]])</f>
        <v>1</v>
      </c>
      <c r="U552" s="42">
        <f>IFERROR(YEAR(emp_db[[#This Row],[Exit Date]]),"")</f>
        <v>1900</v>
      </c>
      <c r="V552" s="42">
        <f>IFERROR(MONTH(emp_db[[#This Row],[Exit Date]]),"")</f>
        <v>1</v>
      </c>
    </row>
    <row r="553" spans="2:22">
      <c r="B553" s="39"/>
      <c r="C553" s="39"/>
      <c r="D553" s="39"/>
      <c r="E553" s="39"/>
      <c r="F553" s="40"/>
      <c r="G553" s="38"/>
      <c r="H553" s="43"/>
      <c r="I553" s="43"/>
      <c r="J553" s="39"/>
      <c r="K553" s="38"/>
      <c r="L553" s="39"/>
      <c r="M553" s="39"/>
      <c r="N553" s="43"/>
      <c r="O553" s="38"/>
      <c r="P553" s="38"/>
      <c r="Q553" s="41" t="str">
        <f ca="1">IF(emp_db[[#This Row],[Exit Date]]&lt;&gt;"",(emp_db[[#This Row],[Exit Date]]-emp_db[[#This Row],[Column1]])/365,IF(emp_db[[#This Row],[ID]]&lt;&gt;"",(TODAY()-emp_db[[#This Row],[Column1]])/365,""))</f>
        <v/>
      </c>
      <c r="R553" s="42" t="str">
        <f ca="1">IF(emp_db[[#This Row],[Date of Birth]]&lt;&gt;"",(TODAY()-emp_db[[#This Row],[Date of Birth]])/365,"")</f>
        <v/>
      </c>
      <c r="S553" s="42">
        <f>YEAR(emp_db[[#This Row],[Column1]])</f>
        <v>1900</v>
      </c>
      <c r="T553" s="42">
        <f>MONTH(emp_db[[#This Row],[Column1]])</f>
        <v>1</v>
      </c>
      <c r="U553" s="42">
        <f>IFERROR(YEAR(emp_db[[#This Row],[Exit Date]]),"")</f>
        <v>1900</v>
      </c>
      <c r="V553" s="42">
        <f>IFERROR(MONTH(emp_db[[#This Row],[Exit Date]]),"")</f>
        <v>1</v>
      </c>
    </row>
    <row r="554" spans="2:22">
      <c r="B554" s="39"/>
      <c r="C554" s="39"/>
      <c r="D554" s="39"/>
      <c r="E554" s="39"/>
      <c r="F554" s="40"/>
      <c r="G554" s="38"/>
      <c r="H554" s="43"/>
      <c r="I554" s="43"/>
      <c r="J554" s="39"/>
      <c r="K554" s="38"/>
      <c r="L554" s="39"/>
      <c r="M554" s="39"/>
      <c r="N554" s="43"/>
      <c r="O554" s="38"/>
      <c r="P554" s="38"/>
      <c r="Q554" s="41" t="str">
        <f ca="1">IF(emp_db[[#This Row],[Exit Date]]&lt;&gt;"",(emp_db[[#This Row],[Exit Date]]-emp_db[[#This Row],[Column1]])/365,IF(emp_db[[#This Row],[ID]]&lt;&gt;"",(TODAY()-emp_db[[#This Row],[Column1]])/365,""))</f>
        <v/>
      </c>
      <c r="R554" s="42" t="str">
        <f ca="1">IF(emp_db[[#This Row],[Date of Birth]]&lt;&gt;"",(TODAY()-emp_db[[#This Row],[Date of Birth]])/365,"")</f>
        <v/>
      </c>
      <c r="S554" s="42">
        <f>YEAR(emp_db[[#This Row],[Column1]])</f>
        <v>1900</v>
      </c>
      <c r="T554" s="42">
        <f>MONTH(emp_db[[#This Row],[Column1]])</f>
        <v>1</v>
      </c>
      <c r="U554" s="42">
        <f>IFERROR(YEAR(emp_db[[#This Row],[Exit Date]]),"")</f>
        <v>1900</v>
      </c>
      <c r="V554" s="42">
        <f>IFERROR(MONTH(emp_db[[#This Row],[Exit Date]]),"")</f>
        <v>1</v>
      </c>
    </row>
    <row r="555" spans="2:22">
      <c r="B555" s="39"/>
      <c r="C555" s="39"/>
      <c r="D555" s="39"/>
      <c r="E555" s="39"/>
      <c r="F555" s="40"/>
      <c r="G555" s="38"/>
      <c r="H555" s="43"/>
      <c r="I555" s="43"/>
      <c r="J555" s="39"/>
      <c r="K555" s="38"/>
      <c r="L555" s="39"/>
      <c r="M555" s="39"/>
      <c r="N555" s="43"/>
      <c r="O555" s="38"/>
      <c r="P555" s="38"/>
      <c r="Q555" s="41" t="str">
        <f ca="1">IF(emp_db[[#This Row],[Exit Date]]&lt;&gt;"",(emp_db[[#This Row],[Exit Date]]-emp_db[[#This Row],[Column1]])/365,IF(emp_db[[#This Row],[ID]]&lt;&gt;"",(TODAY()-emp_db[[#This Row],[Column1]])/365,""))</f>
        <v/>
      </c>
      <c r="R555" s="42" t="str">
        <f ca="1">IF(emp_db[[#This Row],[Date of Birth]]&lt;&gt;"",(TODAY()-emp_db[[#This Row],[Date of Birth]])/365,"")</f>
        <v/>
      </c>
      <c r="S555" s="42">
        <f>YEAR(emp_db[[#This Row],[Column1]])</f>
        <v>1900</v>
      </c>
      <c r="T555" s="42">
        <f>MONTH(emp_db[[#This Row],[Column1]])</f>
        <v>1</v>
      </c>
      <c r="U555" s="42">
        <f>IFERROR(YEAR(emp_db[[#This Row],[Exit Date]]),"")</f>
        <v>1900</v>
      </c>
      <c r="V555" s="42">
        <f>IFERROR(MONTH(emp_db[[#This Row],[Exit Date]]),"")</f>
        <v>1</v>
      </c>
    </row>
    <row r="556" spans="2:22">
      <c r="B556" s="39"/>
      <c r="C556" s="39"/>
      <c r="D556" s="39"/>
      <c r="E556" s="39"/>
      <c r="F556" s="40"/>
      <c r="G556" s="38"/>
      <c r="H556" s="43"/>
      <c r="I556" s="43"/>
      <c r="J556" s="39"/>
      <c r="K556" s="38"/>
      <c r="L556" s="39"/>
      <c r="M556" s="39"/>
      <c r="N556" s="43"/>
      <c r="O556" s="38"/>
      <c r="P556" s="38"/>
      <c r="Q556" s="41" t="str">
        <f ca="1">IF(emp_db[[#This Row],[Exit Date]]&lt;&gt;"",(emp_db[[#This Row],[Exit Date]]-emp_db[[#This Row],[Column1]])/365,IF(emp_db[[#This Row],[ID]]&lt;&gt;"",(TODAY()-emp_db[[#This Row],[Column1]])/365,""))</f>
        <v/>
      </c>
      <c r="R556" s="42" t="str">
        <f ca="1">IF(emp_db[[#This Row],[Date of Birth]]&lt;&gt;"",(TODAY()-emp_db[[#This Row],[Date of Birth]])/365,"")</f>
        <v/>
      </c>
      <c r="S556" s="42">
        <f>YEAR(emp_db[[#This Row],[Column1]])</f>
        <v>1900</v>
      </c>
      <c r="T556" s="42">
        <f>MONTH(emp_db[[#This Row],[Column1]])</f>
        <v>1</v>
      </c>
      <c r="U556" s="42">
        <f>IFERROR(YEAR(emp_db[[#This Row],[Exit Date]]),"")</f>
        <v>1900</v>
      </c>
      <c r="V556" s="42">
        <f>IFERROR(MONTH(emp_db[[#This Row],[Exit Date]]),"")</f>
        <v>1</v>
      </c>
    </row>
    <row r="557" spans="2:22">
      <c r="B557" s="39"/>
      <c r="C557" s="39"/>
      <c r="D557" s="39"/>
      <c r="E557" s="39"/>
      <c r="F557" s="40"/>
      <c r="G557" s="38"/>
      <c r="H557" s="43"/>
      <c r="I557" s="43"/>
      <c r="J557" s="39"/>
      <c r="K557" s="38"/>
      <c r="L557" s="39"/>
      <c r="M557" s="39"/>
      <c r="N557" s="43"/>
      <c r="O557" s="38"/>
      <c r="P557" s="38"/>
      <c r="Q557" s="41" t="str">
        <f ca="1">IF(emp_db[[#This Row],[Exit Date]]&lt;&gt;"",(emp_db[[#This Row],[Exit Date]]-emp_db[[#This Row],[Column1]])/365,IF(emp_db[[#This Row],[ID]]&lt;&gt;"",(TODAY()-emp_db[[#This Row],[Column1]])/365,""))</f>
        <v/>
      </c>
      <c r="R557" s="42" t="str">
        <f ca="1">IF(emp_db[[#This Row],[Date of Birth]]&lt;&gt;"",(TODAY()-emp_db[[#This Row],[Date of Birth]])/365,"")</f>
        <v/>
      </c>
      <c r="S557" s="42">
        <f>YEAR(emp_db[[#This Row],[Column1]])</f>
        <v>1900</v>
      </c>
      <c r="T557" s="42">
        <f>MONTH(emp_db[[#This Row],[Column1]])</f>
        <v>1</v>
      </c>
      <c r="U557" s="42">
        <f>IFERROR(YEAR(emp_db[[#This Row],[Exit Date]]),"")</f>
        <v>1900</v>
      </c>
      <c r="V557" s="42">
        <f>IFERROR(MONTH(emp_db[[#This Row],[Exit Date]]),"")</f>
        <v>1</v>
      </c>
    </row>
    <row r="558" spans="2:22">
      <c r="B558" s="39"/>
      <c r="C558" s="39"/>
      <c r="D558" s="39"/>
      <c r="E558" s="39"/>
      <c r="F558" s="40"/>
      <c r="G558" s="38"/>
      <c r="H558" s="43"/>
      <c r="I558" s="43"/>
      <c r="J558" s="39"/>
      <c r="K558" s="38"/>
      <c r="L558" s="39"/>
      <c r="M558" s="39"/>
      <c r="N558" s="43"/>
      <c r="O558" s="38"/>
      <c r="P558" s="38"/>
      <c r="Q558" s="41" t="str">
        <f ca="1">IF(emp_db[[#This Row],[Exit Date]]&lt;&gt;"",(emp_db[[#This Row],[Exit Date]]-emp_db[[#This Row],[Column1]])/365,IF(emp_db[[#This Row],[ID]]&lt;&gt;"",(TODAY()-emp_db[[#This Row],[Column1]])/365,""))</f>
        <v/>
      </c>
      <c r="R558" s="42" t="str">
        <f ca="1">IF(emp_db[[#This Row],[Date of Birth]]&lt;&gt;"",(TODAY()-emp_db[[#This Row],[Date of Birth]])/365,"")</f>
        <v/>
      </c>
      <c r="S558" s="42">
        <f>YEAR(emp_db[[#This Row],[Column1]])</f>
        <v>1900</v>
      </c>
      <c r="T558" s="42">
        <f>MONTH(emp_db[[#This Row],[Column1]])</f>
        <v>1</v>
      </c>
      <c r="U558" s="42">
        <f>IFERROR(YEAR(emp_db[[#This Row],[Exit Date]]),"")</f>
        <v>1900</v>
      </c>
      <c r="V558" s="42">
        <f>IFERROR(MONTH(emp_db[[#This Row],[Exit Date]]),"")</f>
        <v>1</v>
      </c>
    </row>
    <row r="559" spans="2:22">
      <c r="B559" s="39"/>
      <c r="C559" s="39"/>
      <c r="D559" s="39"/>
      <c r="E559" s="39"/>
      <c r="F559" s="40"/>
      <c r="G559" s="38"/>
      <c r="H559" s="43"/>
      <c r="I559" s="43"/>
      <c r="J559" s="39"/>
      <c r="K559" s="38"/>
      <c r="L559" s="39"/>
      <c r="M559" s="39"/>
      <c r="N559" s="43"/>
      <c r="O559" s="38"/>
      <c r="P559" s="38"/>
      <c r="Q559" s="41" t="str">
        <f ca="1">IF(emp_db[[#This Row],[Exit Date]]&lt;&gt;"",(emp_db[[#This Row],[Exit Date]]-emp_db[[#This Row],[Column1]])/365,IF(emp_db[[#This Row],[ID]]&lt;&gt;"",(TODAY()-emp_db[[#This Row],[Column1]])/365,""))</f>
        <v/>
      </c>
      <c r="R559" s="42" t="str">
        <f ca="1">IF(emp_db[[#This Row],[Date of Birth]]&lt;&gt;"",(TODAY()-emp_db[[#This Row],[Date of Birth]])/365,"")</f>
        <v/>
      </c>
      <c r="S559" s="42">
        <f>YEAR(emp_db[[#This Row],[Column1]])</f>
        <v>1900</v>
      </c>
      <c r="T559" s="42">
        <f>MONTH(emp_db[[#This Row],[Column1]])</f>
        <v>1</v>
      </c>
      <c r="U559" s="42">
        <f>IFERROR(YEAR(emp_db[[#This Row],[Exit Date]]),"")</f>
        <v>1900</v>
      </c>
      <c r="V559" s="42">
        <f>IFERROR(MONTH(emp_db[[#This Row],[Exit Date]]),"")</f>
        <v>1</v>
      </c>
    </row>
    <row r="560" spans="2:22">
      <c r="B560" s="39"/>
      <c r="C560" s="39"/>
      <c r="D560" s="39"/>
      <c r="E560" s="39"/>
      <c r="F560" s="40"/>
      <c r="G560" s="38"/>
      <c r="H560" s="43"/>
      <c r="I560" s="43"/>
      <c r="J560" s="39"/>
      <c r="K560" s="38"/>
      <c r="L560" s="39"/>
      <c r="M560" s="39"/>
      <c r="N560" s="43"/>
      <c r="O560" s="38"/>
      <c r="P560" s="38"/>
      <c r="Q560" s="41" t="str">
        <f ca="1">IF(emp_db[[#This Row],[Exit Date]]&lt;&gt;"",(emp_db[[#This Row],[Exit Date]]-emp_db[[#This Row],[Column1]])/365,IF(emp_db[[#This Row],[ID]]&lt;&gt;"",(TODAY()-emp_db[[#This Row],[Column1]])/365,""))</f>
        <v/>
      </c>
      <c r="R560" s="42" t="str">
        <f ca="1">IF(emp_db[[#This Row],[Date of Birth]]&lt;&gt;"",(TODAY()-emp_db[[#This Row],[Date of Birth]])/365,"")</f>
        <v/>
      </c>
      <c r="S560" s="42">
        <f>YEAR(emp_db[[#This Row],[Column1]])</f>
        <v>1900</v>
      </c>
      <c r="T560" s="42">
        <f>MONTH(emp_db[[#This Row],[Column1]])</f>
        <v>1</v>
      </c>
      <c r="U560" s="42">
        <f>IFERROR(YEAR(emp_db[[#This Row],[Exit Date]]),"")</f>
        <v>1900</v>
      </c>
      <c r="V560" s="42">
        <f>IFERROR(MONTH(emp_db[[#This Row],[Exit Date]]),"")</f>
        <v>1</v>
      </c>
    </row>
    <row r="561" spans="2:22">
      <c r="B561" s="39"/>
      <c r="C561" s="39"/>
      <c r="D561" s="39"/>
      <c r="E561" s="39"/>
      <c r="F561" s="40"/>
      <c r="G561" s="38"/>
      <c r="H561" s="43"/>
      <c r="I561" s="43"/>
      <c r="J561" s="39"/>
      <c r="K561" s="38"/>
      <c r="L561" s="39"/>
      <c r="M561" s="39"/>
      <c r="N561" s="43"/>
      <c r="O561" s="38"/>
      <c r="P561" s="38"/>
      <c r="Q561" s="41" t="str">
        <f ca="1">IF(emp_db[[#This Row],[Exit Date]]&lt;&gt;"",(emp_db[[#This Row],[Exit Date]]-emp_db[[#This Row],[Column1]])/365,IF(emp_db[[#This Row],[ID]]&lt;&gt;"",(TODAY()-emp_db[[#This Row],[Column1]])/365,""))</f>
        <v/>
      </c>
      <c r="R561" s="42" t="str">
        <f ca="1">IF(emp_db[[#This Row],[Date of Birth]]&lt;&gt;"",(TODAY()-emp_db[[#This Row],[Date of Birth]])/365,"")</f>
        <v/>
      </c>
      <c r="S561" s="42">
        <f>YEAR(emp_db[[#This Row],[Column1]])</f>
        <v>1900</v>
      </c>
      <c r="T561" s="42">
        <f>MONTH(emp_db[[#This Row],[Column1]])</f>
        <v>1</v>
      </c>
      <c r="U561" s="42">
        <f>IFERROR(YEAR(emp_db[[#This Row],[Exit Date]]),"")</f>
        <v>1900</v>
      </c>
      <c r="V561" s="42">
        <f>IFERROR(MONTH(emp_db[[#This Row],[Exit Date]]),"")</f>
        <v>1</v>
      </c>
    </row>
    <row r="562" spans="2:22">
      <c r="B562" s="39"/>
      <c r="C562" s="39"/>
      <c r="D562" s="39"/>
      <c r="E562" s="39"/>
      <c r="F562" s="40"/>
      <c r="G562" s="38"/>
      <c r="H562" s="43"/>
      <c r="I562" s="43"/>
      <c r="J562" s="39"/>
      <c r="K562" s="38"/>
      <c r="L562" s="39"/>
      <c r="M562" s="39"/>
      <c r="N562" s="43"/>
      <c r="O562" s="38"/>
      <c r="P562" s="38"/>
      <c r="Q562" s="41" t="str">
        <f ca="1">IF(emp_db[[#This Row],[Exit Date]]&lt;&gt;"",(emp_db[[#This Row],[Exit Date]]-emp_db[[#This Row],[Column1]])/365,IF(emp_db[[#This Row],[ID]]&lt;&gt;"",(TODAY()-emp_db[[#This Row],[Column1]])/365,""))</f>
        <v/>
      </c>
      <c r="R562" s="42" t="str">
        <f ca="1">IF(emp_db[[#This Row],[Date of Birth]]&lt;&gt;"",(TODAY()-emp_db[[#This Row],[Date of Birth]])/365,"")</f>
        <v/>
      </c>
      <c r="S562" s="42">
        <f>YEAR(emp_db[[#This Row],[Column1]])</f>
        <v>1900</v>
      </c>
      <c r="T562" s="42">
        <f>MONTH(emp_db[[#This Row],[Column1]])</f>
        <v>1</v>
      </c>
      <c r="U562" s="42">
        <f>IFERROR(YEAR(emp_db[[#This Row],[Exit Date]]),"")</f>
        <v>1900</v>
      </c>
      <c r="V562" s="42">
        <f>IFERROR(MONTH(emp_db[[#This Row],[Exit Date]]),"")</f>
        <v>1</v>
      </c>
    </row>
    <row r="563" spans="2:22">
      <c r="B563" s="39"/>
      <c r="C563" s="39"/>
      <c r="D563" s="39"/>
      <c r="E563" s="39"/>
      <c r="F563" s="40"/>
      <c r="G563" s="38"/>
      <c r="H563" s="43"/>
      <c r="I563" s="43"/>
      <c r="J563" s="39"/>
      <c r="K563" s="38"/>
      <c r="L563" s="39"/>
      <c r="M563" s="39"/>
      <c r="N563" s="43"/>
      <c r="O563" s="38"/>
      <c r="P563" s="38"/>
      <c r="Q563" s="41" t="str">
        <f ca="1">IF(emp_db[[#This Row],[Exit Date]]&lt;&gt;"",(emp_db[[#This Row],[Exit Date]]-emp_db[[#This Row],[Column1]])/365,IF(emp_db[[#This Row],[ID]]&lt;&gt;"",(TODAY()-emp_db[[#This Row],[Column1]])/365,""))</f>
        <v/>
      </c>
      <c r="R563" s="42" t="str">
        <f ca="1">IF(emp_db[[#This Row],[Date of Birth]]&lt;&gt;"",(TODAY()-emp_db[[#This Row],[Date of Birth]])/365,"")</f>
        <v/>
      </c>
      <c r="S563" s="42">
        <f>YEAR(emp_db[[#This Row],[Column1]])</f>
        <v>1900</v>
      </c>
      <c r="T563" s="42">
        <f>MONTH(emp_db[[#This Row],[Column1]])</f>
        <v>1</v>
      </c>
      <c r="U563" s="42">
        <f>IFERROR(YEAR(emp_db[[#This Row],[Exit Date]]),"")</f>
        <v>1900</v>
      </c>
      <c r="V563" s="42">
        <f>IFERROR(MONTH(emp_db[[#This Row],[Exit Date]]),"")</f>
        <v>1</v>
      </c>
    </row>
    <row r="564" spans="2:22">
      <c r="B564" s="39"/>
      <c r="C564" s="39"/>
      <c r="D564" s="39"/>
      <c r="E564" s="39"/>
      <c r="F564" s="40"/>
      <c r="G564" s="38"/>
      <c r="H564" s="43"/>
      <c r="I564" s="43"/>
      <c r="J564" s="39"/>
      <c r="K564" s="38"/>
      <c r="L564" s="39"/>
      <c r="M564" s="39"/>
      <c r="N564" s="43"/>
      <c r="O564" s="38"/>
      <c r="P564" s="38"/>
      <c r="Q564" s="41" t="str">
        <f ca="1">IF(emp_db[[#This Row],[Exit Date]]&lt;&gt;"",(emp_db[[#This Row],[Exit Date]]-emp_db[[#This Row],[Column1]])/365,IF(emp_db[[#This Row],[ID]]&lt;&gt;"",(TODAY()-emp_db[[#This Row],[Column1]])/365,""))</f>
        <v/>
      </c>
      <c r="R564" s="42" t="str">
        <f ca="1">IF(emp_db[[#This Row],[Date of Birth]]&lt;&gt;"",(TODAY()-emp_db[[#This Row],[Date of Birth]])/365,"")</f>
        <v/>
      </c>
      <c r="S564" s="42">
        <f>YEAR(emp_db[[#This Row],[Column1]])</f>
        <v>1900</v>
      </c>
      <c r="T564" s="42">
        <f>MONTH(emp_db[[#This Row],[Column1]])</f>
        <v>1</v>
      </c>
      <c r="U564" s="42">
        <f>IFERROR(YEAR(emp_db[[#This Row],[Exit Date]]),"")</f>
        <v>1900</v>
      </c>
      <c r="V564" s="42">
        <f>IFERROR(MONTH(emp_db[[#This Row],[Exit Date]]),"")</f>
        <v>1</v>
      </c>
    </row>
    <row r="565" spans="2:22">
      <c r="B565" s="39"/>
      <c r="C565" s="39"/>
      <c r="D565" s="39"/>
      <c r="E565" s="39"/>
      <c r="F565" s="40"/>
      <c r="G565" s="38"/>
      <c r="H565" s="43"/>
      <c r="I565" s="43"/>
      <c r="J565" s="39"/>
      <c r="K565" s="38"/>
      <c r="L565" s="39"/>
      <c r="M565" s="39"/>
      <c r="N565" s="43"/>
      <c r="O565" s="38"/>
      <c r="P565" s="38"/>
      <c r="Q565" s="41" t="str">
        <f ca="1">IF(emp_db[[#This Row],[Exit Date]]&lt;&gt;"",(emp_db[[#This Row],[Exit Date]]-emp_db[[#This Row],[Column1]])/365,IF(emp_db[[#This Row],[ID]]&lt;&gt;"",(TODAY()-emp_db[[#This Row],[Column1]])/365,""))</f>
        <v/>
      </c>
      <c r="R565" s="42" t="str">
        <f ca="1">IF(emp_db[[#This Row],[Date of Birth]]&lt;&gt;"",(TODAY()-emp_db[[#This Row],[Date of Birth]])/365,"")</f>
        <v/>
      </c>
      <c r="S565" s="42">
        <f>YEAR(emp_db[[#This Row],[Column1]])</f>
        <v>1900</v>
      </c>
      <c r="T565" s="42">
        <f>MONTH(emp_db[[#This Row],[Column1]])</f>
        <v>1</v>
      </c>
      <c r="U565" s="42">
        <f>IFERROR(YEAR(emp_db[[#This Row],[Exit Date]]),"")</f>
        <v>1900</v>
      </c>
      <c r="V565" s="42">
        <f>IFERROR(MONTH(emp_db[[#This Row],[Exit Date]]),"")</f>
        <v>1</v>
      </c>
    </row>
    <row r="566" spans="2:22">
      <c r="B566" s="39"/>
      <c r="C566" s="39"/>
      <c r="D566" s="39"/>
      <c r="E566" s="39"/>
      <c r="F566" s="40"/>
      <c r="G566" s="38"/>
      <c r="H566" s="43"/>
      <c r="I566" s="43"/>
      <c r="J566" s="39"/>
      <c r="K566" s="38"/>
      <c r="L566" s="39"/>
      <c r="M566" s="39"/>
      <c r="N566" s="43"/>
      <c r="O566" s="38"/>
      <c r="P566" s="38"/>
      <c r="Q566" s="41" t="str">
        <f ca="1">IF(emp_db[[#This Row],[Exit Date]]&lt;&gt;"",(emp_db[[#This Row],[Exit Date]]-emp_db[[#This Row],[Column1]])/365,IF(emp_db[[#This Row],[ID]]&lt;&gt;"",(TODAY()-emp_db[[#This Row],[Column1]])/365,""))</f>
        <v/>
      </c>
      <c r="R566" s="42" t="str">
        <f ca="1">IF(emp_db[[#This Row],[Date of Birth]]&lt;&gt;"",(TODAY()-emp_db[[#This Row],[Date of Birth]])/365,"")</f>
        <v/>
      </c>
      <c r="S566" s="42">
        <f>YEAR(emp_db[[#This Row],[Column1]])</f>
        <v>1900</v>
      </c>
      <c r="T566" s="42">
        <f>MONTH(emp_db[[#This Row],[Column1]])</f>
        <v>1</v>
      </c>
      <c r="U566" s="42">
        <f>IFERROR(YEAR(emp_db[[#This Row],[Exit Date]]),"")</f>
        <v>1900</v>
      </c>
      <c r="V566" s="42">
        <f>IFERROR(MONTH(emp_db[[#This Row],[Exit Date]]),"")</f>
        <v>1</v>
      </c>
    </row>
    <row r="567" spans="2:22">
      <c r="B567" s="39"/>
      <c r="C567" s="39"/>
      <c r="D567" s="39"/>
      <c r="E567" s="39"/>
      <c r="F567" s="40"/>
      <c r="G567" s="38"/>
      <c r="H567" s="43"/>
      <c r="I567" s="43"/>
      <c r="J567" s="39"/>
      <c r="K567" s="38"/>
      <c r="L567" s="39"/>
      <c r="M567" s="39"/>
      <c r="N567" s="43"/>
      <c r="O567" s="38"/>
      <c r="P567" s="38"/>
      <c r="Q567" s="41" t="str">
        <f ca="1">IF(emp_db[[#This Row],[Exit Date]]&lt;&gt;"",(emp_db[[#This Row],[Exit Date]]-emp_db[[#This Row],[Column1]])/365,IF(emp_db[[#This Row],[ID]]&lt;&gt;"",(TODAY()-emp_db[[#This Row],[Column1]])/365,""))</f>
        <v/>
      </c>
      <c r="R567" s="42" t="str">
        <f ca="1">IF(emp_db[[#This Row],[Date of Birth]]&lt;&gt;"",(TODAY()-emp_db[[#This Row],[Date of Birth]])/365,"")</f>
        <v/>
      </c>
      <c r="S567" s="42">
        <f>YEAR(emp_db[[#This Row],[Column1]])</f>
        <v>1900</v>
      </c>
      <c r="T567" s="42">
        <f>MONTH(emp_db[[#This Row],[Column1]])</f>
        <v>1</v>
      </c>
      <c r="U567" s="42">
        <f>IFERROR(YEAR(emp_db[[#This Row],[Exit Date]]),"")</f>
        <v>1900</v>
      </c>
      <c r="V567" s="42">
        <f>IFERROR(MONTH(emp_db[[#This Row],[Exit Date]]),"")</f>
        <v>1</v>
      </c>
    </row>
    <row r="568" spans="2:22">
      <c r="B568" s="39"/>
      <c r="C568" s="39"/>
      <c r="D568" s="39"/>
      <c r="E568" s="39"/>
      <c r="F568" s="40"/>
      <c r="G568" s="38"/>
      <c r="H568" s="43"/>
      <c r="I568" s="43"/>
      <c r="J568" s="39"/>
      <c r="K568" s="38"/>
      <c r="L568" s="39"/>
      <c r="M568" s="39"/>
      <c r="N568" s="43"/>
      <c r="O568" s="38"/>
      <c r="P568" s="38"/>
      <c r="Q568" s="41" t="str">
        <f ca="1">IF(emp_db[[#This Row],[Exit Date]]&lt;&gt;"",(emp_db[[#This Row],[Exit Date]]-emp_db[[#This Row],[Column1]])/365,IF(emp_db[[#This Row],[ID]]&lt;&gt;"",(TODAY()-emp_db[[#This Row],[Column1]])/365,""))</f>
        <v/>
      </c>
      <c r="R568" s="42" t="str">
        <f ca="1">IF(emp_db[[#This Row],[Date of Birth]]&lt;&gt;"",(TODAY()-emp_db[[#This Row],[Date of Birth]])/365,"")</f>
        <v/>
      </c>
      <c r="S568" s="42">
        <f>YEAR(emp_db[[#This Row],[Column1]])</f>
        <v>1900</v>
      </c>
      <c r="T568" s="42">
        <f>MONTH(emp_db[[#This Row],[Column1]])</f>
        <v>1</v>
      </c>
      <c r="U568" s="42">
        <f>IFERROR(YEAR(emp_db[[#This Row],[Exit Date]]),"")</f>
        <v>1900</v>
      </c>
      <c r="V568" s="42">
        <f>IFERROR(MONTH(emp_db[[#This Row],[Exit Date]]),"")</f>
        <v>1</v>
      </c>
    </row>
    <row r="569" spans="2:22">
      <c r="B569" s="39"/>
      <c r="C569" s="39"/>
      <c r="D569" s="39"/>
      <c r="E569" s="39"/>
      <c r="F569" s="40"/>
      <c r="G569" s="38"/>
      <c r="H569" s="43"/>
      <c r="I569" s="43"/>
      <c r="J569" s="39"/>
      <c r="K569" s="38"/>
      <c r="L569" s="39"/>
      <c r="M569" s="39"/>
      <c r="N569" s="43"/>
      <c r="O569" s="38"/>
      <c r="P569" s="38"/>
      <c r="Q569" s="41" t="str">
        <f ca="1">IF(emp_db[[#This Row],[Exit Date]]&lt;&gt;"",(emp_db[[#This Row],[Exit Date]]-emp_db[[#This Row],[Column1]])/365,IF(emp_db[[#This Row],[ID]]&lt;&gt;"",(TODAY()-emp_db[[#This Row],[Column1]])/365,""))</f>
        <v/>
      </c>
      <c r="R569" s="42" t="str">
        <f ca="1">IF(emp_db[[#This Row],[Date of Birth]]&lt;&gt;"",(TODAY()-emp_db[[#This Row],[Date of Birth]])/365,"")</f>
        <v/>
      </c>
      <c r="S569" s="42">
        <f>YEAR(emp_db[[#This Row],[Column1]])</f>
        <v>1900</v>
      </c>
      <c r="T569" s="42">
        <f>MONTH(emp_db[[#This Row],[Column1]])</f>
        <v>1</v>
      </c>
      <c r="U569" s="42">
        <f>IFERROR(YEAR(emp_db[[#This Row],[Exit Date]]),"")</f>
        <v>1900</v>
      </c>
      <c r="V569" s="42">
        <f>IFERROR(MONTH(emp_db[[#This Row],[Exit Date]]),"")</f>
        <v>1</v>
      </c>
    </row>
    <row r="570" spans="2:22">
      <c r="B570" s="39"/>
      <c r="C570" s="39"/>
      <c r="D570" s="39"/>
      <c r="E570" s="39"/>
      <c r="F570" s="40"/>
      <c r="G570" s="38"/>
      <c r="H570" s="43"/>
      <c r="I570" s="43"/>
      <c r="J570" s="39"/>
      <c r="K570" s="38"/>
      <c r="L570" s="39"/>
      <c r="M570" s="39"/>
      <c r="N570" s="43"/>
      <c r="O570" s="38"/>
      <c r="P570" s="38"/>
      <c r="Q570" s="41" t="str">
        <f ca="1">IF(emp_db[[#This Row],[Exit Date]]&lt;&gt;"",(emp_db[[#This Row],[Exit Date]]-emp_db[[#This Row],[Column1]])/365,IF(emp_db[[#This Row],[ID]]&lt;&gt;"",(TODAY()-emp_db[[#This Row],[Column1]])/365,""))</f>
        <v/>
      </c>
      <c r="R570" s="42" t="str">
        <f ca="1">IF(emp_db[[#This Row],[Date of Birth]]&lt;&gt;"",(TODAY()-emp_db[[#This Row],[Date of Birth]])/365,"")</f>
        <v/>
      </c>
      <c r="S570" s="42">
        <f>YEAR(emp_db[[#This Row],[Column1]])</f>
        <v>1900</v>
      </c>
      <c r="T570" s="42">
        <f>MONTH(emp_db[[#This Row],[Column1]])</f>
        <v>1</v>
      </c>
      <c r="U570" s="42">
        <f>IFERROR(YEAR(emp_db[[#This Row],[Exit Date]]),"")</f>
        <v>1900</v>
      </c>
      <c r="V570" s="42">
        <f>IFERROR(MONTH(emp_db[[#This Row],[Exit Date]]),"")</f>
        <v>1</v>
      </c>
    </row>
    <row r="571" spans="2:22">
      <c r="B571" s="39"/>
      <c r="C571" s="39"/>
      <c r="D571" s="39"/>
      <c r="E571" s="39"/>
      <c r="F571" s="40"/>
      <c r="G571" s="38"/>
      <c r="H571" s="43"/>
      <c r="I571" s="43"/>
      <c r="J571" s="39"/>
      <c r="K571" s="38"/>
      <c r="L571" s="39"/>
      <c r="M571" s="39"/>
      <c r="N571" s="43"/>
      <c r="O571" s="38"/>
      <c r="P571" s="38"/>
      <c r="Q571" s="41" t="str">
        <f ca="1">IF(emp_db[[#This Row],[Exit Date]]&lt;&gt;"",(emp_db[[#This Row],[Exit Date]]-emp_db[[#This Row],[Column1]])/365,IF(emp_db[[#This Row],[ID]]&lt;&gt;"",(TODAY()-emp_db[[#This Row],[Column1]])/365,""))</f>
        <v/>
      </c>
      <c r="R571" s="42" t="str">
        <f ca="1">IF(emp_db[[#This Row],[Date of Birth]]&lt;&gt;"",(TODAY()-emp_db[[#This Row],[Date of Birth]])/365,"")</f>
        <v/>
      </c>
      <c r="S571" s="42">
        <f>YEAR(emp_db[[#This Row],[Column1]])</f>
        <v>1900</v>
      </c>
      <c r="T571" s="42">
        <f>MONTH(emp_db[[#This Row],[Column1]])</f>
        <v>1</v>
      </c>
      <c r="U571" s="42">
        <f>IFERROR(YEAR(emp_db[[#This Row],[Exit Date]]),"")</f>
        <v>1900</v>
      </c>
      <c r="V571" s="42">
        <f>IFERROR(MONTH(emp_db[[#This Row],[Exit Date]]),"")</f>
        <v>1</v>
      </c>
    </row>
    <row r="572" spans="2:22">
      <c r="B572" s="39"/>
      <c r="C572" s="39"/>
      <c r="D572" s="39"/>
      <c r="E572" s="39"/>
      <c r="F572" s="40"/>
      <c r="G572" s="38"/>
      <c r="H572" s="43"/>
      <c r="I572" s="43"/>
      <c r="J572" s="39"/>
      <c r="K572" s="38"/>
      <c r="L572" s="39"/>
      <c r="M572" s="39"/>
      <c r="N572" s="43"/>
      <c r="O572" s="38"/>
      <c r="P572" s="38"/>
      <c r="Q572" s="41" t="str">
        <f ca="1">IF(emp_db[[#This Row],[Exit Date]]&lt;&gt;"",(emp_db[[#This Row],[Exit Date]]-emp_db[[#This Row],[Column1]])/365,IF(emp_db[[#This Row],[ID]]&lt;&gt;"",(TODAY()-emp_db[[#This Row],[Column1]])/365,""))</f>
        <v/>
      </c>
      <c r="R572" s="42" t="str">
        <f ca="1">IF(emp_db[[#This Row],[Date of Birth]]&lt;&gt;"",(TODAY()-emp_db[[#This Row],[Date of Birth]])/365,"")</f>
        <v/>
      </c>
      <c r="S572" s="42">
        <f>YEAR(emp_db[[#This Row],[Column1]])</f>
        <v>1900</v>
      </c>
      <c r="T572" s="42">
        <f>MONTH(emp_db[[#This Row],[Column1]])</f>
        <v>1</v>
      </c>
      <c r="U572" s="42">
        <f>IFERROR(YEAR(emp_db[[#This Row],[Exit Date]]),"")</f>
        <v>1900</v>
      </c>
      <c r="V572" s="42">
        <f>IFERROR(MONTH(emp_db[[#This Row],[Exit Date]]),"")</f>
        <v>1</v>
      </c>
    </row>
    <row r="573" spans="2:22">
      <c r="B573" s="39"/>
      <c r="C573" s="39"/>
      <c r="D573" s="39"/>
      <c r="E573" s="39"/>
      <c r="F573" s="40"/>
      <c r="G573" s="38"/>
      <c r="H573" s="43"/>
      <c r="I573" s="43"/>
      <c r="J573" s="39"/>
      <c r="K573" s="38"/>
      <c r="L573" s="39"/>
      <c r="M573" s="39"/>
      <c r="N573" s="43"/>
      <c r="O573" s="38"/>
      <c r="P573" s="38"/>
      <c r="Q573" s="41" t="str">
        <f ca="1">IF(emp_db[[#This Row],[Exit Date]]&lt;&gt;"",(emp_db[[#This Row],[Exit Date]]-emp_db[[#This Row],[Column1]])/365,IF(emp_db[[#This Row],[ID]]&lt;&gt;"",(TODAY()-emp_db[[#This Row],[Column1]])/365,""))</f>
        <v/>
      </c>
      <c r="R573" s="42" t="str">
        <f ca="1">IF(emp_db[[#This Row],[Date of Birth]]&lt;&gt;"",(TODAY()-emp_db[[#This Row],[Date of Birth]])/365,"")</f>
        <v/>
      </c>
      <c r="S573" s="42">
        <f>YEAR(emp_db[[#This Row],[Column1]])</f>
        <v>1900</v>
      </c>
      <c r="T573" s="42">
        <f>MONTH(emp_db[[#This Row],[Column1]])</f>
        <v>1</v>
      </c>
      <c r="U573" s="42">
        <f>IFERROR(YEAR(emp_db[[#This Row],[Exit Date]]),"")</f>
        <v>1900</v>
      </c>
      <c r="V573" s="42">
        <f>IFERROR(MONTH(emp_db[[#This Row],[Exit Date]]),"")</f>
        <v>1</v>
      </c>
    </row>
    <row r="574" spans="2:22">
      <c r="B574" s="39"/>
      <c r="C574" s="39"/>
      <c r="D574" s="39"/>
      <c r="E574" s="39"/>
      <c r="F574" s="40"/>
      <c r="G574" s="38"/>
      <c r="H574" s="43"/>
      <c r="I574" s="43"/>
      <c r="J574" s="39"/>
      <c r="K574" s="38"/>
      <c r="L574" s="39"/>
      <c r="M574" s="39"/>
      <c r="N574" s="43"/>
      <c r="O574" s="38"/>
      <c r="P574" s="38"/>
      <c r="Q574" s="41" t="str">
        <f ca="1">IF(emp_db[[#This Row],[Exit Date]]&lt;&gt;"",(emp_db[[#This Row],[Exit Date]]-emp_db[[#This Row],[Column1]])/365,IF(emp_db[[#This Row],[ID]]&lt;&gt;"",(TODAY()-emp_db[[#This Row],[Column1]])/365,""))</f>
        <v/>
      </c>
      <c r="R574" s="42" t="str">
        <f ca="1">IF(emp_db[[#This Row],[Date of Birth]]&lt;&gt;"",(TODAY()-emp_db[[#This Row],[Date of Birth]])/365,"")</f>
        <v/>
      </c>
      <c r="S574" s="42">
        <f>YEAR(emp_db[[#This Row],[Column1]])</f>
        <v>1900</v>
      </c>
      <c r="T574" s="42">
        <f>MONTH(emp_db[[#This Row],[Column1]])</f>
        <v>1</v>
      </c>
      <c r="U574" s="42">
        <f>IFERROR(YEAR(emp_db[[#This Row],[Exit Date]]),"")</f>
        <v>1900</v>
      </c>
      <c r="V574" s="42">
        <f>IFERROR(MONTH(emp_db[[#This Row],[Exit Date]]),"")</f>
        <v>1</v>
      </c>
    </row>
    <row r="575" spans="2:22">
      <c r="B575" s="39"/>
      <c r="C575" s="39"/>
      <c r="D575" s="39"/>
      <c r="E575" s="39"/>
      <c r="F575" s="40"/>
      <c r="G575" s="38"/>
      <c r="H575" s="43"/>
      <c r="I575" s="43"/>
      <c r="J575" s="39"/>
      <c r="K575" s="38"/>
      <c r="L575" s="39"/>
      <c r="M575" s="39"/>
      <c r="N575" s="43"/>
      <c r="O575" s="38"/>
      <c r="P575" s="38"/>
      <c r="Q575" s="41" t="str">
        <f ca="1">IF(emp_db[[#This Row],[Exit Date]]&lt;&gt;"",(emp_db[[#This Row],[Exit Date]]-emp_db[[#This Row],[Column1]])/365,IF(emp_db[[#This Row],[ID]]&lt;&gt;"",(TODAY()-emp_db[[#This Row],[Column1]])/365,""))</f>
        <v/>
      </c>
      <c r="R575" s="42" t="str">
        <f ca="1">IF(emp_db[[#This Row],[Date of Birth]]&lt;&gt;"",(TODAY()-emp_db[[#This Row],[Date of Birth]])/365,"")</f>
        <v/>
      </c>
      <c r="S575" s="42">
        <f>YEAR(emp_db[[#This Row],[Column1]])</f>
        <v>1900</v>
      </c>
      <c r="T575" s="42">
        <f>MONTH(emp_db[[#This Row],[Column1]])</f>
        <v>1</v>
      </c>
      <c r="U575" s="42">
        <f>IFERROR(YEAR(emp_db[[#This Row],[Exit Date]]),"")</f>
        <v>1900</v>
      </c>
      <c r="V575" s="42">
        <f>IFERROR(MONTH(emp_db[[#This Row],[Exit Date]]),"")</f>
        <v>1</v>
      </c>
    </row>
    <row r="576" spans="2:22">
      <c r="B576" s="39"/>
      <c r="C576" s="39"/>
      <c r="D576" s="39"/>
      <c r="E576" s="39"/>
      <c r="F576" s="40"/>
      <c r="G576" s="38"/>
      <c r="H576" s="43"/>
      <c r="I576" s="43"/>
      <c r="J576" s="39"/>
      <c r="K576" s="38"/>
      <c r="L576" s="39"/>
      <c r="M576" s="39"/>
      <c r="N576" s="43"/>
      <c r="O576" s="38"/>
      <c r="P576" s="38"/>
      <c r="Q576" s="41" t="str">
        <f ca="1">IF(emp_db[[#This Row],[Exit Date]]&lt;&gt;"",(emp_db[[#This Row],[Exit Date]]-emp_db[[#This Row],[Column1]])/365,IF(emp_db[[#This Row],[ID]]&lt;&gt;"",(TODAY()-emp_db[[#This Row],[Column1]])/365,""))</f>
        <v/>
      </c>
      <c r="R576" s="42" t="str">
        <f ca="1">IF(emp_db[[#This Row],[Date of Birth]]&lt;&gt;"",(TODAY()-emp_db[[#This Row],[Date of Birth]])/365,"")</f>
        <v/>
      </c>
      <c r="S576" s="42">
        <f>YEAR(emp_db[[#This Row],[Column1]])</f>
        <v>1900</v>
      </c>
      <c r="T576" s="42">
        <f>MONTH(emp_db[[#This Row],[Column1]])</f>
        <v>1</v>
      </c>
      <c r="U576" s="42">
        <f>IFERROR(YEAR(emp_db[[#This Row],[Exit Date]]),"")</f>
        <v>1900</v>
      </c>
      <c r="V576" s="42">
        <f>IFERROR(MONTH(emp_db[[#This Row],[Exit Date]]),"")</f>
        <v>1</v>
      </c>
    </row>
    <row r="577" spans="2:22">
      <c r="B577" s="39"/>
      <c r="C577" s="39"/>
      <c r="D577" s="39"/>
      <c r="E577" s="39"/>
      <c r="F577" s="40"/>
      <c r="G577" s="38"/>
      <c r="H577" s="43"/>
      <c r="I577" s="43"/>
      <c r="J577" s="39"/>
      <c r="K577" s="38"/>
      <c r="L577" s="39"/>
      <c r="M577" s="39"/>
      <c r="N577" s="43"/>
      <c r="O577" s="38"/>
      <c r="P577" s="38"/>
      <c r="Q577" s="41" t="str">
        <f ca="1">IF(emp_db[[#This Row],[Exit Date]]&lt;&gt;"",(emp_db[[#This Row],[Exit Date]]-emp_db[[#This Row],[Column1]])/365,IF(emp_db[[#This Row],[ID]]&lt;&gt;"",(TODAY()-emp_db[[#This Row],[Column1]])/365,""))</f>
        <v/>
      </c>
      <c r="R577" s="42" t="str">
        <f ca="1">IF(emp_db[[#This Row],[Date of Birth]]&lt;&gt;"",(TODAY()-emp_db[[#This Row],[Date of Birth]])/365,"")</f>
        <v/>
      </c>
      <c r="S577" s="42">
        <f>YEAR(emp_db[[#This Row],[Column1]])</f>
        <v>1900</v>
      </c>
      <c r="T577" s="42">
        <f>MONTH(emp_db[[#This Row],[Column1]])</f>
        <v>1</v>
      </c>
      <c r="U577" s="42">
        <f>IFERROR(YEAR(emp_db[[#This Row],[Exit Date]]),"")</f>
        <v>1900</v>
      </c>
      <c r="V577" s="42">
        <f>IFERROR(MONTH(emp_db[[#This Row],[Exit Date]]),"")</f>
        <v>1</v>
      </c>
    </row>
    <row r="578" spans="2:22">
      <c r="B578" s="39"/>
      <c r="C578" s="39"/>
      <c r="D578" s="39"/>
      <c r="E578" s="39"/>
      <c r="F578" s="40"/>
      <c r="G578" s="38"/>
      <c r="H578" s="43"/>
      <c r="I578" s="43"/>
      <c r="J578" s="39"/>
      <c r="K578" s="38"/>
      <c r="L578" s="39"/>
      <c r="M578" s="39"/>
      <c r="N578" s="43"/>
      <c r="O578" s="38"/>
      <c r="P578" s="38"/>
      <c r="Q578" s="41" t="str">
        <f ca="1">IF(emp_db[[#This Row],[Exit Date]]&lt;&gt;"",(emp_db[[#This Row],[Exit Date]]-emp_db[[#This Row],[Column1]])/365,IF(emp_db[[#This Row],[ID]]&lt;&gt;"",(TODAY()-emp_db[[#This Row],[Column1]])/365,""))</f>
        <v/>
      </c>
      <c r="R578" s="42" t="str">
        <f ca="1">IF(emp_db[[#This Row],[Date of Birth]]&lt;&gt;"",(TODAY()-emp_db[[#This Row],[Date of Birth]])/365,"")</f>
        <v/>
      </c>
      <c r="S578" s="42">
        <f>YEAR(emp_db[[#This Row],[Column1]])</f>
        <v>1900</v>
      </c>
      <c r="T578" s="42">
        <f>MONTH(emp_db[[#This Row],[Column1]])</f>
        <v>1</v>
      </c>
      <c r="U578" s="42">
        <f>IFERROR(YEAR(emp_db[[#This Row],[Exit Date]]),"")</f>
        <v>1900</v>
      </c>
      <c r="V578" s="42">
        <f>IFERROR(MONTH(emp_db[[#This Row],[Exit Date]]),"")</f>
        <v>1</v>
      </c>
    </row>
    <row r="579" spans="2:22">
      <c r="B579" s="39"/>
      <c r="C579" s="39"/>
      <c r="D579" s="39"/>
      <c r="E579" s="39"/>
      <c r="F579" s="40"/>
      <c r="G579" s="38"/>
      <c r="H579" s="43"/>
      <c r="I579" s="43"/>
      <c r="J579" s="39"/>
      <c r="K579" s="38"/>
      <c r="L579" s="39"/>
      <c r="M579" s="39"/>
      <c r="N579" s="43"/>
      <c r="O579" s="38"/>
      <c r="P579" s="38"/>
      <c r="Q579" s="41" t="str">
        <f ca="1">IF(emp_db[[#This Row],[Exit Date]]&lt;&gt;"",(emp_db[[#This Row],[Exit Date]]-emp_db[[#This Row],[Column1]])/365,IF(emp_db[[#This Row],[ID]]&lt;&gt;"",(TODAY()-emp_db[[#This Row],[Column1]])/365,""))</f>
        <v/>
      </c>
      <c r="R579" s="42" t="str">
        <f ca="1">IF(emp_db[[#This Row],[Date of Birth]]&lt;&gt;"",(TODAY()-emp_db[[#This Row],[Date of Birth]])/365,"")</f>
        <v/>
      </c>
      <c r="S579" s="42">
        <f>YEAR(emp_db[[#This Row],[Column1]])</f>
        <v>1900</v>
      </c>
      <c r="T579" s="42">
        <f>MONTH(emp_db[[#This Row],[Column1]])</f>
        <v>1</v>
      </c>
      <c r="U579" s="42">
        <f>IFERROR(YEAR(emp_db[[#This Row],[Exit Date]]),"")</f>
        <v>1900</v>
      </c>
      <c r="V579" s="42">
        <f>IFERROR(MONTH(emp_db[[#This Row],[Exit Date]]),"")</f>
        <v>1</v>
      </c>
    </row>
    <row r="580" spans="2:22">
      <c r="B580" s="39"/>
      <c r="C580" s="39"/>
      <c r="D580" s="39"/>
      <c r="E580" s="39"/>
      <c r="F580" s="40"/>
      <c r="G580" s="38"/>
      <c r="H580" s="43"/>
      <c r="I580" s="43"/>
      <c r="J580" s="39"/>
      <c r="K580" s="38"/>
      <c r="L580" s="39"/>
      <c r="M580" s="39"/>
      <c r="N580" s="43"/>
      <c r="O580" s="38"/>
      <c r="P580" s="38"/>
      <c r="Q580" s="41" t="str">
        <f ca="1">IF(emp_db[[#This Row],[Exit Date]]&lt;&gt;"",(emp_db[[#This Row],[Exit Date]]-emp_db[[#This Row],[Column1]])/365,IF(emp_db[[#This Row],[ID]]&lt;&gt;"",(TODAY()-emp_db[[#This Row],[Column1]])/365,""))</f>
        <v/>
      </c>
      <c r="R580" s="42" t="str">
        <f ca="1">IF(emp_db[[#This Row],[Date of Birth]]&lt;&gt;"",(TODAY()-emp_db[[#This Row],[Date of Birth]])/365,"")</f>
        <v/>
      </c>
      <c r="S580" s="42">
        <f>YEAR(emp_db[[#This Row],[Column1]])</f>
        <v>1900</v>
      </c>
      <c r="T580" s="42">
        <f>MONTH(emp_db[[#This Row],[Column1]])</f>
        <v>1</v>
      </c>
      <c r="U580" s="42">
        <f>IFERROR(YEAR(emp_db[[#This Row],[Exit Date]]),"")</f>
        <v>1900</v>
      </c>
      <c r="V580" s="42">
        <f>IFERROR(MONTH(emp_db[[#This Row],[Exit Date]]),"")</f>
        <v>1</v>
      </c>
    </row>
    <row r="581" spans="2:22">
      <c r="B581" s="39"/>
      <c r="C581" s="39"/>
      <c r="D581" s="39"/>
      <c r="E581" s="39"/>
      <c r="F581" s="40"/>
      <c r="G581" s="38"/>
      <c r="H581" s="43"/>
      <c r="I581" s="43"/>
      <c r="J581" s="39"/>
      <c r="K581" s="38"/>
      <c r="L581" s="39"/>
      <c r="M581" s="39"/>
      <c r="N581" s="43"/>
      <c r="O581" s="38"/>
      <c r="P581" s="38"/>
      <c r="Q581" s="41" t="str">
        <f ca="1">IF(emp_db[[#This Row],[Exit Date]]&lt;&gt;"",(emp_db[[#This Row],[Exit Date]]-emp_db[[#This Row],[Column1]])/365,IF(emp_db[[#This Row],[ID]]&lt;&gt;"",(TODAY()-emp_db[[#This Row],[Column1]])/365,""))</f>
        <v/>
      </c>
      <c r="R581" s="42" t="str">
        <f ca="1">IF(emp_db[[#This Row],[Date of Birth]]&lt;&gt;"",(TODAY()-emp_db[[#This Row],[Date of Birth]])/365,"")</f>
        <v/>
      </c>
      <c r="S581" s="42">
        <f>YEAR(emp_db[[#This Row],[Column1]])</f>
        <v>1900</v>
      </c>
      <c r="T581" s="42">
        <f>MONTH(emp_db[[#This Row],[Column1]])</f>
        <v>1</v>
      </c>
      <c r="U581" s="42">
        <f>IFERROR(YEAR(emp_db[[#This Row],[Exit Date]]),"")</f>
        <v>1900</v>
      </c>
      <c r="V581" s="42">
        <f>IFERROR(MONTH(emp_db[[#This Row],[Exit Date]]),"")</f>
        <v>1</v>
      </c>
    </row>
    <row r="582" spans="2:22">
      <c r="B582" s="39"/>
      <c r="C582" s="39"/>
      <c r="D582" s="39"/>
      <c r="E582" s="39"/>
      <c r="F582" s="40"/>
      <c r="G582" s="38"/>
      <c r="H582" s="43"/>
      <c r="I582" s="43"/>
      <c r="J582" s="39"/>
      <c r="K582" s="38"/>
      <c r="L582" s="39"/>
      <c r="M582" s="39"/>
      <c r="N582" s="43"/>
      <c r="O582" s="38"/>
      <c r="P582" s="38"/>
      <c r="Q582" s="41" t="str">
        <f ca="1">IF(emp_db[[#This Row],[Exit Date]]&lt;&gt;"",(emp_db[[#This Row],[Exit Date]]-emp_db[[#This Row],[Column1]])/365,IF(emp_db[[#This Row],[ID]]&lt;&gt;"",(TODAY()-emp_db[[#This Row],[Column1]])/365,""))</f>
        <v/>
      </c>
      <c r="R582" s="42" t="str">
        <f ca="1">IF(emp_db[[#This Row],[Date of Birth]]&lt;&gt;"",(TODAY()-emp_db[[#This Row],[Date of Birth]])/365,"")</f>
        <v/>
      </c>
      <c r="S582" s="42">
        <f>YEAR(emp_db[[#This Row],[Column1]])</f>
        <v>1900</v>
      </c>
      <c r="T582" s="42">
        <f>MONTH(emp_db[[#This Row],[Column1]])</f>
        <v>1</v>
      </c>
      <c r="U582" s="42">
        <f>IFERROR(YEAR(emp_db[[#This Row],[Exit Date]]),"")</f>
        <v>1900</v>
      </c>
      <c r="V582" s="42">
        <f>IFERROR(MONTH(emp_db[[#This Row],[Exit Date]]),"")</f>
        <v>1</v>
      </c>
    </row>
    <row r="583" spans="2:22">
      <c r="B583" s="39"/>
      <c r="C583" s="39"/>
      <c r="D583" s="39"/>
      <c r="E583" s="39"/>
      <c r="F583" s="40"/>
      <c r="G583" s="38"/>
      <c r="H583" s="43"/>
      <c r="I583" s="43"/>
      <c r="J583" s="39"/>
      <c r="K583" s="38"/>
      <c r="L583" s="39"/>
      <c r="M583" s="39"/>
      <c r="N583" s="43"/>
      <c r="O583" s="38"/>
      <c r="P583" s="38"/>
      <c r="Q583" s="41" t="str">
        <f ca="1">IF(emp_db[[#This Row],[Exit Date]]&lt;&gt;"",(emp_db[[#This Row],[Exit Date]]-emp_db[[#This Row],[Column1]])/365,IF(emp_db[[#This Row],[ID]]&lt;&gt;"",(TODAY()-emp_db[[#This Row],[Column1]])/365,""))</f>
        <v/>
      </c>
      <c r="R583" s="42" t="str">
        <f ca="1">IF(emp_db[[#This Row],[Date of Birth]]&lt;&gt;"",(TODAY()-emp_db[[#This Row],[Date of Birth]])/365,"")</f>
        <v/>
      </c>
      <c r="S583" s="42">
        <f>YEAR(emp_db[[#This Row],[Column1]])</f>
        <v>1900</v>
      </c>
      <c r="T583" s="42">
        <f>MONTH(emp_db[[#This Row],[Column1]])</f>
        <v>1</v>
      </c>
      <c r="U583" s="42">
        <f>IFERROR(YEAR(emp_db[[#This Row],[Exit Date]]),"")</f>
        <v>1900</v>
      </c>
      <c r="V583" s="42">
        <f>IFERROR(MONTH(emp_db[[#This Row],[Exit Date]]),"")</f>
        <v>1</v>
      </c>
    </row>
    <row r="584" spans="2:22">
      <c r="B584" s="39"/>
      <c r="C584" s="39"/>
      <c r="D584" s="39"/>
      <c r="E584" s="39"/>
      <c r="F584" s="40"/>
      <c r="G584" s="38"/>
      <c r="H584" s="43"/>
      <c r="I584" s="43"/>
      <c r="J584" s="39"/>
      <c r="K584" s="38"/>
      <c r="L584" s="39"/>
      <c r="M584" s="39"/>
      <c r="N584" s="43"/>
      <c r="O584" s="38"/>
      <c r="P584" s="38"/>
      <c r="Q584" s="41" t="str">
        <f ca="1">IF(emp_db[[#This Row],[Exit Date]]&lt;&gt;"",(emp_db[[#This Row],[Exit Date]]-emp_db[[#This Row],[Column1]])/365,IF(emp_db[[#This Row],[ID]]&lt;&gt;"",(TODAY()-emp_db[[#This Row],[Column1]])/365,""))</f>
        <v/>
      </c>
      <c r="R584" s="42" t="str">
        <f ca="1">IF(emp_db[[#This Row],[Date of Birth]]&lt;&gt;"",(TODAY()-emp_db[[#This Row],[Date of Birth]])/365,"")</f>
        <v/>
      </c>
      <c r="S584" s="42">
        <f>YEAR(emp_db[[#This Row],[Column1]])</f>
        <v>1900</v>
      </c>
      <c r="T584" s="42">
        <f>MONTH(emp_db[[#This Row],[Column1]])</f>
        <v>1</v>
      </c>
      <c r="U584" s="42">
        <f>IFERROR(YEAR(emp_db[[#This Row],[Exit Date]]),"")</f>
        <v>1900</v>
      </c>
      <c r="V584" s="42">
        <f>IFERROR(MONTH(emp_db[[#This Row],[Exit Date]]),"")</f>
        <v>1</v>
      </c>
    </row>
    <row r="585" spans="2:22">
      <c r="B585" s="39"/>
      <c r="C585" s="39"/>
      <c r="D585" s="39"/>
      <c r="E585" s="39"/>
      <c r="F585" s="40"/>
      <c r="G585" s="38"/>
      <c r="H585" s="43"/>
      <c r="I585" s="43"/>
      <c r="J585" s="39"/>
      <c r="K585" s="38"/>
      <c r="L585" s="39"/>
      <c r="M585" s="39"/>
      <c r="N585" s="43"/>
      <c r="O585" s="38"/>
      <c r="P585" s="38"/>
      <c r="Q585" s="41" t="str">
        <f ca="1">IF(emp_db[[#This Row],[Exit Date]]&lt;&gt;"",(emp_db[[#This Row],[Exit Date]]-emp_db[[#This Row],[Column1]])/365,IF(emp_db[[#This Row],[ID]]&lt;&gt;"",(TODAY()-emp_db[[#This Row],[Column1]])/365,""))</f>
        <v/>
      </c>
      <c r="R585" s="42" t="str">
        <f ca="1">IF(emp_db[[#This Row],[Date of Birth]]&lt;&gt;"",(TODAY()-emp_db[[#This Row],[Date of Birth]])/365,"")</f>
        <v/>
      </c>
      <c r="S585" s="42">
        <f>YEAR(emp_db[[#This Row],[Column1]])</f>
        <v>1900</v>
      </c>
      <c r="T585" s="42">
        <f>MONTH(emp_db[[#This Row],[Column1]])</f>
        <v>1</v>
      </c>
      <c r="U585" s="42">
        <f>IFERROR(YEAR(emp_db[[#This Row],[Exit Date]]),"")</f>
        <v>1900</v>
      </c>
      <c r="V585" s="42">
        <f>IFERROR(MONTH(emp_db[[#This Row],[Exit Date]]),"")</f>
        <v>1</v>
      </c>
    </row>
    <row r="586" spans="2:22">
      <c r="B586" s="39"/>
      <c r="C586" s="39"/>
      <c r="D586" s="39"/>
      <c r="E586" s="39"/>
      <c r="F586" s="40"/>
      <c r="G586" s="38"/>
      <c r="H586" s="43"/>
      <c r="I586" s="43"/>
      <c r="J586" s="39"/>
      <c r="K586" s="38"/>
      <c r="L586" s="39"/>
      <c r="M586" s="39"/>
      <c r="N586" s="43"/>
      <c r="O586" s="38"/>
      <c r="P586" s="38"/>
      <c r="Q586" s="41" t="str">
        <f ca="1">IF(emp_db[[#This Row],[Exit Date]]&lt;&gt;"",(emp_db[[#This Row],[Exit Date]]-emp_db[[#This Row],[Column1]])/365,IF(emp_db[[#This Row],[ID]]&lt;&gt;"",(TODAY()-emp_db[[#This Row],[Column1]])/365,""))</f>
        <v/>
      </c>
      <c r="R586" s="42" t="str">
        <f ca="1">IF(emp_db[[#This Row],[Date of Birth]]&lt;&gt;"",(TODAY()-emp_db[[#This Row],[Date of Birth]])/365,"")</f>
        <v/>
      </c>
      <c r="S586" s="42">
        <f>YEAR(emp_db[[#This Row],[Column1]])</f>
        <v>1900</v>
      </c>
      <c r="T586" s="42">
        <f>MONTH(emp_db[[#This Row],[Column1]])</f>
        <v>1</v>
      </c>
      <c r="U586" s="42">
        <f>IFERROR(YEAR(emp_db[[#This Row],[Exit Date]]),"")</f>
        <v>1900</v>
      </c>
      <c r="V586" s="42">
        <f>IFERROR(MONTH(emp_db[[#This Row],[Exit Date]]),"")</f>
        <v>1</v>
      </c>
    </row>
    <row r="587" spans="2:22">
      <c r="B587" s="39"/>
      <c r="C587" s="39"/>
      <c r="D587" s="39"/>
      <c r="E587" s="39"/>
      <c r="F587" s="40"/>
      <c r="G587" s="38"/>
      <c r="H587" s="43"/>
      <c r="I587" s="43"/>
      <c r="J587" s="39"/>
      <c r="K587" s="38"/>
      <c r="L587" s="39"/>
      <c r="M587" s="39"/>
      <c r="N587" s="43"/>
      <c r="O587" s="38"/>
      <c r="P587" s="38"/>
      <c r="Q587" s="41" t="str">
        <f ca="1">IF(emp_db[[#This Row],[Exit Date]]&lt;&gt;"",(emp_db[[#This Row],[Exit Date]]-emp_db[[#This Row],[Column1]])/365,IF(emp_db[[#This Row],[ID]]&lt;&gt;"",(TODAY()-emp_db[[#This Row],[Column1]])/365,""))</f>
        <v/>
      </c>
      <c r="R587" s="42" t="str">
        <f ca="1">IF(emp_db[[#This Row],[Date of Birth]]&lt;&gt;"",(TODAY()-emp_db[[#This Row],[Date of Birth]])/365,"")</f>
        <v/>
      </c>
      <c r="S587" s="42">
        <f>YEAR(emp_db[[#This Row],[Column1]])</f>
        <v>1900</v>
      </c>
      <c r="T587" s="42">
        <f>MONTH(emp_db[[#This Row],[Column1]])</f>
        <v>1</v>
      </c>
      <c r="U587" s="42">
        <f>IFERROR(YEAR(emp_db[[#This Row],[Exit Date]]),"")</f>
        <v>1900</v>
      </c>
      <c r="V587" s="42">
        <f>IFERROR(MONTH(emp_db[[#This Row],[Exit Date]]),"")</f>
        <v>1</v>
      </c>
    </row>
    <row r="588" spans="2:22">
      <c r="B588" s="39"/>
      <c r="C588" s="39"/>
      <c r="D588" s="39"/>
      <c r="E588" s="39"/>
      <c r="F588" s="40"/>
      <c r="G588" s="38"/>
      <c r="H588" s="43"/>
      <c r="I588" s="43"/>
      <c r="J588" s="39"/>
      <c r="K588" s="38"/>
      <c r="L588" s="39"/>
      <c r="M588" s="39"/>
      <c r="N588" s="43"/>
      <c r="O588" s="38"/>
      <c r="P588" s="38"/>
      <c r="Q588" s="41" t="str">
        <f ca="1">IF(emp_db[[#This Row],[Exit Date]]&lt;&gt;"",(emp_db[[#This Row],[Exit Date]]-emp_db[[#This Row],[Column1]])/365,IF(emp_db[[#This Row],[ID]]&lt;&gt;"",(TODAY()-emp_db[[#This Row],[Column1]])/365,""))</f>
        <v/>
      </c>
      <c r="R588" s="42" t="str">
        <f ca="1">IF(emp_db[[#This Row],[Date of Birth]]&lt;&gt;"",(TODAY()-emp_db[[#This Row],[Date of Birth]])/365,"")</f>
        <v/>
      </c>
      <c r="S588" s="42">
        <f>YEAR(emp_db[[#This Row],[Column1]])</f>
        <v>1900</v>
      </c>
      <c r="T588" s="42">
        <f>MONTH(emp_db[[#This Row],[Column1]])</f>
        <v>1</v>
      </c>
      <c r="U588" s="42">
        <f>IFERROR(YEAR(emp_db[[#This Row],[Exit Date]]),"")</f>
        <v>1900</v>
      </c>
      <c r="V588" s="42">
        <f>IFERROR(MONTH(emp_db[[#This Row],[Exit Date]]),"")</f>
        <v>1</v>
      </c>
    </row>
    <row r="589" spans="2:22">
      <c r="B589" s="39"/>
      <c r="C589" s="39"/>
      <c r="D589" s="39"/>
      <c r="E589" s="39"/>
      <c r="F589" s="40"/>
      <c r="G589" s="38"/>
      <c r="H589" s="43"/>
      <c r="I589" s="43"/>
      <c r="J589" s="39"/>
      <c r="K589" s="38"/>
      <c r="L589" s="39"/>
      <c r="M589" s="39"/>
      <c r="N589" s="43"/>
      <c r="O589" s="38"/>
      <c r="P589" s="38"/>
      <c r="Q589" s="41" t="str">
        <f ca="1">IF(emp_db[[#This Row],[Exit Date]]&lt;&gt;"",(emp_db[[#This Row],[Exit Date]]-emp_db[[#This Row],[Column1]])/365,IF(emp_db[[#This Row],[ID]]&lt;&gt;"",(TODAY()-emp_db[[#This Row],[Column1]])/365,""))</f>
        <v/>
      </c>
      <c r="R589" s="42" t="str">
        <f ca="1">IF(emp_db[[#This Row],[Date of Birth]]&lt;&gt;"",(TODAY()-emp_db[[#This Row],[Date of Birth]])/365,"")</f>
        <v/>
      </c>
      <c r="S589" s="42">
        <f>YEAR(emp_db[[#This Row],[Column1]])</f>
        <v>1900</v>
      </c>
      <c r="T589" s="42">
        <f>MONTH(emp_db[[#This Row],[Column1]])</f>
        <v>1</v>
      </c>
      <c r="U589" s="42">
        <f>IFERROR(YEAR(emp_db[[#This Row],[Exit Date]]),"")</f>
        <v>1900</v>
      </c>
      <c r="V589" s="42">
        <f>IFERROR(MONTH(emp_db[[#This Row],[Exit Date]]),"")</f>
        <v>1</v>
      </c>
    </row>
    <row r="590" spans="2:22">
      <c r="B590" s="39"/>
      <c r="C590" s="39"/>
      <c r="D590" s="39"/>
      <c r="E590" s="39"/>
      <c r="F590" s="40"/>
      <c r="G590" s="38"/>
      <c r="H590" s="43"/>
      <c r="I590" s="43"/>
      <c r="J590" s="39"/>
      <c r="K590" s="38"/>
      <c r="L590" s="39"/>
      <c r="M590" s="39"/>
      <c r="N590" s="43"/>
      <c r="O590" s="38"/>
      <c r="P590" s="38"/>
      <c r="Q590" s="41" t="str">
        <f ca="1">IF(emp_db[[#This Row],[Exit Date]]&lt;&gt;"",(emp_db[[#This Row],[Exit Date]]-emp_db[[#This Row],[Column1]])/365,IF(emp_db[[#This Row],[ID]]&lt;&gt;"",(TODAY()-emp_db[[#This Row],[Column1]])/365,""))</f>
        <v/>
      </c>
      <c r="R590" s="42" t="str">
        <f ca="1">IF(emp_db[[#This Row],[Date of Birth]]&lt;&gt;"",(TODAY()-emp_db[[#This Row],[Date of Birth]])/365,"")</f>
        <v/>
      </c>
      <c r="S590" s="42">
        <f>YEAR(emp_db[[#This Row],[Column1]])</f>
        <v>1900</v>
      </c>
      <c r="T590" s="42">
        <f>MONTH(emp_db[[#This Row],[Column1]])</f>
        <v>1</v>
      </c>
      <c r="U590" s="42">
        <f>IFERROR(YEAR(emp_db[[#This Row],[Exit Date]]),"")</f>
        <v>1900</v>
      </c>
      <c r="V590" s="42">
        <f>IFERROR(MONTH(emp_db[[#This Row],[Exit Date]]),"")</f>
        <v>1</v>
      </c>
    </row>
    <row r="591" spans="2:22">
      <c r="B591" s="39"/>
      <c r="C591" s="39"/>
      <c r="D591" s="39"/>
      <c r="E591" s="39"/>
      <c r="F591" s="40"/>
      <c r="G591" s="38"/>
      <c r="H591" s="43"/>
      <c r="I591" s="43"/>
      <c r="J591" s="39"/>
      <c r="K591" s="38"/>
      <c r="L591" s="39"/>
      <c r="M591" s="39"/>
      <c r="N591" s="43"/>
      <c r="O591" s="38"/>
      <c r="P591" s="38"/>
      <c r="Q591" s="41" t="str">
        <f ca="1">IF(emp_db[[#This Row],[Exit Date]]&lt;&gt;"",(emp_db[[#This Row],[Exit Date]]-emp_db[[#This Row],[Column1]])/365,IF(emp_db[[#This Row],[ID]]&lt;&gt;"",(TODAY()-emp_db[[#This Row],[Column1]])/365,""))</f>
        <v/>
      </c>
      <c r="R591" s="42" t="str">
        <f ca="1">IF(emp_db[[#This Row],[Date of Birth]]&lt;&gt;"",(TODAY()-emp_db[[#This Row],[Date of Birth]])/365,"")</f>
        <v/>
      </c>
      <c r="S591" s="42">
        <f>YEAR(emp_db[[#This Row],[Column1]])</f>
        <v>1900</v>
      </c>
      <c r="T591" s="42">
        <f>MONTH(emp_db[[#This Row],[Column1]])</f>
        <v>1</v>
      </c>
      <c r="U591" s="42">
        <f>IFERROR(YEAR(emp_db[[#This Row],[Exit Date]]),"")</f>
        <v>1900</v>
      </c>
      <c r="V591" s="42">
        <f>IFERROR(MONTH(emp_db[[#This Row],[Exit Date]]),"")</f>
        <v>1</v>
      </c>
    </row>
    <row r="592" spans="2:22">
      <c r="B592" s="39"/>
      <c r="C592" s="39"/>
      <c r="D592" s="39"/>
      <c r="E592" s="39"/>
      <c r="F592" s="40"/>
      <c r="G592" s="38"/>
      <c r="H592" s="43"/>
      <c r="I592" s="43"/>
      <c r="J592" s="39"/>
      <c r="K592" s="38"/>
      <c r="L592" s="39"/>
      <c r="M592" s="39"/>
      <c r="N592" s="43"/>
      <c r="O592" s="38"/>
      <c r="P592" s="38"/>
      <c r="Q592" s="41" t="str">
        <f ca="1">IF(emp_db[[#This Row],[Exit Date]]&lt;&gt;"",(emp_db[[#This Row],[Exit Date]]-emp_db[[#This Row],[Column1]])/365,IF(emp_db[[#This Row],[ID]]&lt;&gt;"",(TODAY()-emp_db[[#This Row],[Column1]])/365,""))</f>
        <v/>
      </c>
      <c r="R592" s="42" t="str">
        <f ca="1">IF(emp_db[[#This Row],[Date of Birth]]&lt;&gt;"",(TODAY()-emp_db[[#This Row],[Date of Birth]])/365,"")</f>
        <v/>
      </c>
      <c r="S592" s="42">
        <f>YEAR(emp_db[[#This Row],[Column1]])</f>
        <v>1900</v>
      </c>
      <c r="T592" s="42">
        <f>MONTH(emp_db[[#This Row],[Column1]])</f>
        <v>1</v>
      </c>
      <c r="U592" s="42">
        <f>IFERROR(YEAR(emp_db[[#This Row],[Exit Date]]),"")</f>
        <v>1900</v>
      </c>
      <c r="V592" s="42">
        <f>IFERROR(MONTH(emp_db[[#This Row],[Exit Date]]),"")</f>
        <v>1</v>
      </c>
    </row>
    <row r="593" spans="2:22">
      <c r="B593" s="39"/>
      <c r="C593" s="39"/>
      <c r="D593" s="39"/>
      <c r="E593" s="39"/>
      <c r="F593" s="40"/>
      <c r="G593" s="38"/>
      <c r="H593" s="43"/>
      <c r="I593" s="43"/>
      <c r="J593" s="39"/>
      <c r="K593" s="38"/>
      <c r="L593" s="39"/>
      <c r="M593" s="39"/>
      <c r="N593" s="43"/>
      <c r="O593" s="38"/>
      <c r="P593" s="38"/>
      <c r="Q593" s="41" t="str">
        <f ca="1">IF(emp_db[[#This Row],[Exit Date]]&lt;&gt;"",(emp_db[[#This Row],[Exit Date]]-emp_db[[#This Row],[Column1]])/365,IF(emp_db[[#This Row],[ID]]&lt;&gt;"",(TODAY()-emp_db[[#This Row],[Column1]])/365,""))</f>
        <v/>
      </c>
      <c r="R593" s="42" t="str">
        <f ca="1">IF(emp_db[[#This Row],[Date of Birth]]&lt;&gt;"",(TODAY()-emp_db[[#This Row],[Date of Birth]])/365,"")</f>
        <v/>
      </c>
      <c r="S593" s="42">
        <f>YEAR(emp_db[[#This Row],[Column1]])</f>
        <v>1900</v>
      </c>
      <c r="T593" s="42">
        <f>MONTH(emp_db[[#This Row],[Column1]])</f>
        <v>1</v>
      </c>
      <c r="U593" s="42">
        <f>IFERROR(YEAR(emp_db[[#This Row],[Exit Date]]),"")</f>
        <v>1900</v>
      </c>
      <c r="V593" s="42">
        <f>IFERROR(MONTH(emp_db[[#This Row],[Exit Date]]),"")</f>
        <v>1</v>
      </c>
    </row>
    <row r="594" spans="2:22">
      <c r="B594" s="39"/>
      <c r="C594" s="39"/>
      <c r="D594" s="39"/>
      <c r="E594" s="39"/>
      <c r="F594" s="40"/>
      <c r="G594" s="38"/>
      <c r="H594" s="43"/>
      <c r="I594" s="43"/>
      <c r="J594" s="39"/>
      <c r="K594" s="38"/>
      <c r="L594" s="39"/>
      <c r="M594" s="39"/>
      <c r="N594" s="43"/>
      <c r="O594" s="38"/>
      <c r="P594" s="38"/>
      <c r="Q594" s="41" t="str">
        <f ca="1">IF(emp_db[[#This Row],[Exit Date]]&lt;&gt;"",(emp_db[[#This Row],[Exit Date]]-emp_db[[#This Row],[Column1]])/365,IF(emp_db[[#This Row],[ID]]&lt;&gt;"",(TODAY()-emp_db[[#This Row],[Column1]])/365,""))</f>
        <v/>
      </c>
      <c r="R594" s="42" t="str">
        <f ca="1">IF(emp_db[[#This Row],[Date of Birth]]&lt;&gt;"",(TODAY()-emp_db[[#This Row],[Date of Birth]])/365,"")</f>
        <v/>
      </c>
      <c r="S594" s="42">
        <f>YEAR(emp_db[[#This Row],[Column1]])</f>
        <v>1900</v>
      </c>
      <c r="T594" s="42">
        <f>MONTH(emp_db[[#This Row],[Column1]])</f>
        <v>1</v>
      </c>
      <c r="U594" s="42">
        <f>IFERROR(YEAR(emp_db[[#This Row],[Exit Date]]),"")</f>
        <v>1900</v>
      </c>
      <c r="V594" s="42">
        <f>IFERROR(MONTH(emp_db[[#This Row],[Exit Date]]),"")</f>
        <v>1</v>
      </c>
    </row>
    <row r="595" spans="2:22">
      <c r="B595" s="39"/>
      <c r="C595" s="39"/>
      <c r="D595" s="39"/>
      <c r="E595" s="39"/>
      <c r="F595" s="40"/>
      <c r="G595" s="38"/>
      <c r="H595" s="43"/>
      <c r="I595" s="43"/>
      <c r="J595" s="39"/>
      <c r="K595" s="38"/>
      <c r="L595" s="39"/>
      <c r="M595" s="39"/>
      <c r="N595" s="43"/>
      <c r="O595" s="38"/>
      <c r="P595" s="38"/>
      <c r="Q595" s="41" t="str">
        <f ca="1">IF(emp_db[[#This Row],[Exit Date]]&lt;&gt;"",(emp_db[[#This Row],[Exit Date]]-emp_db[[#This Row],[Column1]])/365,IF(emp_db[[#This Row],[ID]]&lt;&gt;"",(TODAY()-emp_db[[#This Row],[Column1]])/365,""))</f>
        <v/>
      </c>
      <c r="R595" s="42" t="str">
        <f ca="1">IF(emp_db[[#This Row],[Date of Birth]]&lt;&gt;"",(TODAY()-emp_db[[#This Row],[Date of Birth]])/365,"")</f>
        <v/>
      </c>
      <c r="S595" s="42">
        <f>YEAR(emp_db[[#This Row],[Column1]])</f>
        <v>1900</v>
      </c>
      <c r="T595" s="42">
        <f>MONTH(emp_db[[#This Row],[Column1]])</f>
        <v>1</v>
      </c>
      <c r="U595" s="42">
        <f>IFERROR(YEAR(emp_db[[#This Row],[Exit Date]]),"")</f>
        <v>1900</v>
      </c>
      <c r="V595" s="42">
        <f>IFERROR(MONTH(emp_db[[#This Row],[Exit Date]]),"")</f>
        <v>1</v>
      </c>
    </row>
    <row r="596" spans="2:22">
      <c r="B596" s="39"/>
      <c r="C596" s="39"/>
      <c r="D596" s="39"/>
      <c r="E596" s="39"/>
      <c r="F596" s="40"/>
      <c r="G596" s="38"/>
      <c r="H596" s="43"/>
      <c r="I596" s="43"/>
      <c r="J596" s="39"/>
      <c r="K596" s="38"/>
      <c r="L596" s="39"/>
      <c r="M596" s="39"/>
      <c r="N596" s="43"/>
      <c r="O596" s="38"/>
      <c r="P596" s="38"/>
      <c r="Q596" s="41" t="str">
        <f ca="1">IF(emp_db[[#This Row],[Exit Date]]&lt;&gt;"",(emp_db[[#This Row],[Exit Date]]-emp_db[[#This Row],[Column1]])/365,IF(emp_db[[#This Row],[ID]]&lt;&gt;"",(TODAY()-emp_db[[#This Row],[Column1]])/365,""))</f>
        <v/>
      </c>
      <c r="R596" s="42" t="str">
        <f ca="1">IF(emp_db[[#This Row],[Date of Birth]]&lt;&gt;"",(TODAY()-emp_db[[#This Row],[Date of Birth]])/365,"")</f>
        <v/>
      </c>
      <c r="S596" s="42">
        <f>YEAR(emp_db[[#This Row],[Column1]])</f>
        <v>1900</v>
      </c>
      <c r="T596" s="42">
        <f>MONTH(emp_db[[#This Row],[Column1]])</f>
        <v>1</v>
      </c>
      <c r="U596" s="42">
        <f>IFERROR(YEAR(emp_db[[#This Row],[Exit Date]]),"")</f>
        <v>1900</v>
      </c>
      <c r="V596" s="42">
        <f>IFERROR(MONTH(emp_db[[#This Row],[Exit Date]]),"")</f>
        <v>1</v>
      </c>
    </row>
    <row r="597" spans="2:22">
      <c r="B597" s="39"/>
      <c r="C597" s="39"/>
      <c r="D597" s="39"/>
      <c r="E597" s="39"/>
      <c r="F597" s="40"/>
      <c r="G597" s="38"/>
      <c r="H597" s="43"/>
      <c r="I597" s="43"/>
      <c r="J597" s="39"/>
      <c r="K597" s="38"/>
      <c r="L597" s="39"/>
      <c r="M597" s="39"/>
      <c r="N597" s="43"/>
      <c r="O597" s="38"/>
      <c r="P597" s="38"/>
      <c r="Q597" s="41" t="str">
        <f ca="1">IF(emp_db[[#This Row],[Exit Date]]&lt;&gt;"",(emp_db[[#This Row],[Exit Date]]-emp_db[[#This Row],[Column1]])/365,IF(emp_db[[#This Row],[ID]]&lt;&gt;"",(TODAY()-emp_db[[#This Row],[Column1]])/365,""))</f>
        <v/>
      </c>
      <c r="R597" s="42" t="str">
        <f ca="1">IF(emp_db[[#This Row],[Date of Birth]]&lt;&gt;"",(TODAY()-emp_db[[#This Row],[Date of Birth]])/365,"")</f>
        <v/>
      </c>
      <c r="S597" s="42">
        <f>YEAR(emp_db[[#This Row],[Column1]])</f>
        <v>1900</v>
      </c>
      <c r="T597" s="42">
        <f>MONTH(emp_db[[#This Row],[Column1]])</f>
        <v>1</v>
      </c>
      <c r="U597" s="42">
        <f>IFERROR(YEAR(emp_db[[#This Row],[Exit Date]]),"")</f>
        <v>1900</v>
      </c>
      <c r="V597" s="42">
        <f>IFERROR(MONTH(emp_db[[#This Row],[Exit Date]]),"")</f>
        <v>1</v>
      </c>
    </row>
    <row r="598" spans="2:22">
      <c r="B598" s="39"/>
      <c r="C598" s="39"/>
      <c r="D598" s="39"/>
      <c r="E598" s="39"/>
      <c r="F598" s="40"/>
      <c r="G598" s="38"/>
      <c r="H598" s="43"/>
      <c r="I598" s="43"/>
      <c r="J598" s="39"/>
      <c r="K598" s="38"/>
      <c r="L598" s="39"/>
      <c r="M598" s="39"/>
      <c r="N598" s="43"/>
      <c r="O598" s="38"/>
      <c r="P598" s="38"/>
      <c r="Q598" s="41" t="str">
        <f ca="1">IF(emp_db[[#This Row],[Exit Date]]&lt;&gt;"",(emp_db[[#This Row],[Exit Date]]-emp_db[[#This Row],[Column1]])/365,IF(emp_db[[#This Row],[ID]]&lt;&gt;"",(TODAY()-emp_db[[#This Row],[Column1]])/365,""))</f>
        <v/>
      </c>
      <c r="R598" s="42" t="str">
        <f ca="1">IF(emp_db[[#This Row],[Date of Birth]]&lt;&gt;"",(TODAY()-emp_db[[#This Row],[Date of Birth]])/365,"")</f>
        <v/>
      </c>
      <c r="S598" s="42">
        <f>YEAR(emp_db[[#This Row],[Column1]])</f>
        <v>1900</v>
      </c>
      <c r="T598" s="42">
        <f>MONTH(emp_db[[#This Row],[Column1]])</f>
        <v>1</v>
      </c>
      <c r="U598" s="42">
        <f>IFERROR(YEAR(emp_db[[#This Row],[Exit Date]]),"")</f>
        <v>1900</v>
      </c>
      <c r="V598" s="42">
        <f>IFERROR(MONTH(emp_db[[#This Row],[Exit Date]]),"")</f>
        <v>1</v>
      </c>
    </row>
    <row r="599" spans="2:22">
      <c r="B599" s="39"/>
      <c r="C599" s="39"/>
      <c r="D599" s="39"/>
      <c r="E599" s="39"/>
      <c r="F599" s="40"/>
      <c r="G599" s="38"/>
      <c r="H599" s="43"/>
      <c r="I599" s="43"/>
      <c r="J599" s="39"/>
      <c r="K599" s="38"/>
      <c r="L599" s="39"/>
      <c r="M599" s="39"/>
      <c r="N599" s="43"/>
      <c r="O599" s="38"/>
      <c r="P599" s="38"/>
      <c r="Q599" s="41" t="str">
        <f ca="1">IF(emp_db[[#This Row],[Exit Date]]&lt;&gt;"",(emp_db[[#This Row],[Exit Date]]-emp_db[[#This Row],[Column1]])/365,IF(emp_db[[#This Row],[ID]]&lt;&gt;"",(TODAY()-emp_db[[#This Row],[Column1]])/365,""))</f>
        <v/>
      </c>
      <c r="R599" s="42" t="str">
        <f ca="1">IF(emp_db[[#This Row],[Date of Birth]]&lt;&gt;"",(TODAY()-emp_db[[#This Row],[Date of Birth]])/365,"")</f>
        <v/>
      </c>
      <c r="S599" s="42">
        <f>YEAR(emp_db[[#This Row],[Column1]])</f>
        <v>1900</v>
      </c>
      <c r="T599" s="42">
        <f>MONTH(emp_db[[#This Row],[Column1]])</f>
        <v>1</v>
      </c>
      <c r="U599" s="42">
        <f>IFERROR(YEAR(emp_db[[#This Row],[Exit Date]]),"")</f>
        <v>1900</v>
      </c>
      <c r="V599" s="42">
        <f>IFERROR(MONTH(emp_db[[#This Row],[Exit Date]]),"")</f>
        <v>1</v>
      </c>
    </row>
    <row r="600" spans="2:22">
      <c r="B600" s="39"/>
      <c r="C600" s="39"/>
      <c r="D600" s="39"/>
      <c r="E600" s="39"/>
      <c r="F600" s="40"/>
      <c r="G600" s="38"/>
      <c r="H600" s="43"/>
      <c r="I600" s="43"/>
      <c r="J600" s="39"/>
      <c r="K600" s="38"/>
      <c r="L600" s="39"/>
      <c r="M600" s="39"/>
      <c r="N600" s="43"/>
      <c r="O600" s="38"/>
      <c r="P600" s="38"/>
      <c r="Q600" s="41" t="str">
        <f ca="1">IF(emp_db[[#This Row],[Exit Date]]&lt;&gt;"",(emp_db[[#This Row],[Exit Date]]-emp_db[[#This Row],[Column1]])/365,IF(emp_db[[#This Row],[ID]]&lt;&gt;"",(TODAY()-emp_db[[#This Row],[Column1]])/365,""))</f>
        <v/>
      </c>
      <c r="R600" s="42" t="str">
        <f ca="1">IF(emp_db[[#This Row],[Date of Birth]]&lt;&gt;"",(TODAY()-emp_db[[#This Row],[Date of Birth]])/365,"")</f>
        <v/>
      </c>
      <c r="S600" s="42">
        <f>YEAR(emp_db[[#This Row],[Column1]])</f>
        <v>1900</v>
      </c>
      <c r="T600" s="42">
        <f>MONTH(emp_db[[#This Row],[Column1]])</f>
        <v>1</v>
      </c>
      <c r="U600" s="42">
        <f>IFERROR(YEAR(emp_db[[#This Row],[Exit Date]]),"")</f>
        <v>1900</v>
      </c>
      <c r="V600" s="42">
        <f>IFERROR(MONTH(emp_db[[#This Row],[Exit Date]]),"")</f>
        <v>1</v>
      </c>
    </row>
    <row r="601" spans="2:22">
      <c r="B601" s="39"/>
      <c r="C601" s="39"/>
      <c r="D601" s="39"/>
      <c r="E601" s="39"/>
      <c r="F601" s="40"/>
      <c r="G601" s="38"/>
      <c r="H601" s="43"/>
      <c r="I601" s="43"/>
      <c r="J601" s="39"/>
      <c r="K601" s="38"/>
      <c r="L601" s="39"/>
      <c r="M601" s="39"/>
      <c r="N601" s="43"/>
      <c r="O601" s="38"/>
      <c r="P601" s="38"/>
      <c r="Q601" s="41" t="str">
        <f ca="1">IF(emp_db[[#This Row],[Exit Date]]&lt;&gt;"",(emp_db[[#This Row],[Exit Date]]-emp_db[[#This Row],[Column1]])/365,IF(emp_db[[#This Row],[ID]]&lt;&gt;"",(TODAY()-emp_db[[#This Row],[Column1]])/365,""))</f>
        <v/>
      </c>
      <c r="R601" s="42" t="str">
        <f ca="1">IF(emp_db[[#This Row],[Date of Birth]]&lt;&gt;"",(TODAY()-emp_db[[#This Row],[Date of Birth]])/365,"")</f>
        <v/>
      </c>
      <c r="S601" s="42">
        <f>YEAR(emp_db[[#This Row],[Column1]])</f>
        <v>1900</v>
      </c>
      <c r="T601" s="42">
        <f>MONTH(emp_db[[#This Row],[Column1]])</f>
        <v>1</v>
      </c>
      <c r="U601" s="42">
        <f>IFERROR(YEAR(emp_db[[#This Row],[Exit Date]]),"")</f>
        <v>1900</v>
      </c>
      <c r="V601" s="42">
        <f>IFERROR(MONTH(emp_db[[#This Row],[Exit Date]]),"")</f>
        <v>1</v>
      </c>
    </row>
    <row r="602" spans="2:22">
      <c r="B602" s="39"/>
      <c r="C602" s="39"/>
      <c r="D602" s="39"/>
      <c r="E602" s="39"/>
      <c r="F602" s="40"/>
      <c r="G602" s="38"/>
      <c r="H602" s="43"/>
      <c r="I602" s="43"/>
      <c r="J602" s="39"/>
      <c r="K602" s="38"/>
      <c r="L602" s="39"/>
      <c r="M602" s="39"/>
      <c r="N602" s="43"/>
      <c r="O602" s="38"/>
      <c r="P602" s="38"/>
      <c r="Q602" s="41" t="str">
        <f ca="1">IF(emp_db[[#This Row],[Exit Date]]&lt;&gt;"",(emp_db[[#This Row],[Exit Date]]-emp_db[[#This Row],[Column1]])/365,IF(emp_db[[#This Row],[ID]]&lt;&gt;"",(TODAY()-emp_db[[#This Row],[Column1]])/365,""))</f>
        <v/>
      </c>
      <c r="R602" s="42" t="str">
        <f ca="1">IF(emp_db[[#This Row],[Date of Birth]]&lt;&gt;"",(TODAY()-emp_db[[#This Row],[Date of Birth]])/365,"")</f>
        <v/>
      </c>
      <c r="S602" s="42">
        <f>YEAR(emp_db[[#This Row],[Column1]])</f>
        <v>1900</v>
      </c>
      <c r="T602" s="42">
        <f>MONTH(emp_db[[#This Row],[Column1]])</f>
        <v>1</v>
      </c>
      <c r="U602" s="42">
        <f>IFERROR(YEAR(emp_db[[#This Row],[Exit Date]]),"")</f>
        <v>1900</v>
      </c>
      <c r="V602" s="42">
        <f>IFERROR(MONTH(emp_db[[#This Row],[Exit Date]]),"")</f>
        <v>1</v>
      </c>
    </row>
    <row r="603" spans="2:22">
      <c r="B603" s="39"/>
      <c r="C603" s="39"/>
      <c r="D603" s="39"/>
      <c r="E603" s="39"/>
      <c r="F603" s="40"/>
      <c r="G603" s="38"/>
      <c r="H603" s="43"/>
      <c r="I603" s="43"/>
      <c r="J603" s="39"/>
      <c r="K603" s="38"/>
      <c r="L603" s="39"/>
      <c r="M603" s="39"/>
      <c r="N603" s="43"/>
      <c r="O603" s="38"/>
      <c r="P603" s="38"/>
      <c r="Q603" s="41" t="str">
        <f ca="1">IF(emp_db[[#This Row],[Exit Date]]&lt;&gt;"",(emp_db[[#This Row],[Exit Date]]-emp_db[[#This Row],[Column1]])/365,IF(emp_db[[#This Row],[ID]]&lt;&gt;"",(TODAY()-emp_db[[#This Row],[Column1]])/365,""))</f>
        <v/>
      </c>
      <c r="R603" s="42" t="str">
        <f ca="1">IF(emp_db[[#This Row],[Date of Birth]]&lt;&gt;"",(TODAY()-emp_db[[#This Row],[Date of Birth]])/365,"")</f>
        <v/>
      </c>
      <c r="S603" s="42">
        <f>YEAR(emp_db[[#This Row],[Column1]])</f>
        <v>1900</v>
      </c>
      <c r="T603" s="42">
        <f>MONTH(emp_db[[#This Row],[Column1]])</f>
        <v>1</v>
      </c>
      <c r="U603" s="42">
        <f>IFERROR(YEAR(emp_db[[#This Row],[Exit Date]]),"")</f>
        <v>1900</v>
      </c>
      <c r="V603" s="42">
        <f>IFERROR(MONTH(emp_db[[#This Row],[Exit Date]]),"")</f>
        <v>1</v>
      </c>
    </row>
    <row r="604" spans="2:22">
      <c r="B604" s="39"/>
      <c r="C604" s="39"/>
      <c r="D604" s="39"/>
      <c r="E604" s="39"/>
      <c r="F604" s="40"/>
      <c r="G604" s="38"/>
      <c r="H604" s="43"/>
      <c r="I604" s="43"/>
      <c r="J604" s="39"/>
      <c r="K604" s="38"/>
      <c r="L604" s="39"/>
      <c r="M604" s="39"/>
      <c r="N604" s="43"/>
      <c r="O604" s="38"/>
      <c r="P604" s="38"/>
      <c r="Q604" s="41" t="str">
        <f ca="1">IF(emp_db[[#This Row],[Exit Date]]&lt;&gt;"",(emp_db[[#This Row],[Exit Date]]-emp_db[[#This Row],[Column1]])/365,IF(emp_db[[#This Row],[ID]]&lt;&gt;"",(TODAY()-emp_db[[#This Row],[Column1]])/365,""))</f>
        <v/>
      </c>
      <c r="R604" s="42" t="str">
        <f ca="1">IF(emp_db[[#This Row],[Date of Birth]]&lt;&gt;"",(TODAY()-emp_db[[#This Row],[Date of Birth]])/365,"")</f>
        <v/>
      </c>
      <c r="S604" s="42">
        <f>YEAR(emp_db[[#This Row],[Column1]])</f>
        <v>1900</v>
      </c>
      <c r="T604" s="42">
        <f>MONTH(emp_db[[#This Row],[Column1]])</f>
        <v>1</v>
      </c>
      <c r="U604" s="42">
        <f>IFERROR(YEAR(emp_db[[#This Row],[Exit Date]]),"")</f>
        <v>1900</v>
      </c>
      <c r="V604" s="42">
        <f>IFERROR(MONTH(emp_db[[#This Row],[Exit Date]]),"")</f>
        <v>1</v>
      </c>
    </row>
    <row r="605" spans="2:22">
      <c r="B605" s="39"/>
      <c r="C605" s="39"/>
      <c r="D605" s="39"/>
      <c r="E605" s="39"/>
      <c r="F605" s="40"/>
      <c r="G605" s="38"/>
      <c r="H605" s="43"/>
      <c r="I605" s="43"/>
      <c r="J605" s="39"/>
      <c r="K605" s="38"/>
      <c r="L605" s="39"/>
      <c r="M605" s="39"/>
      <c r="N605" s="43"/>
      <c r="O605" s="38"/>
      <c r="P605" s="38"/>
      <c r="Q605" s="41" t="str">
        <f ca="1">IF(emp_db[[#This Row],[Exit Date]]&lt;&gt;"",(emp_db[[#This Row],[Exit Date]]-emp_db[[#This Row],[Column1]])/365,IF(emp_db[[#This Row],[ID]]&lt;&gt;"",(TODAY()-emp_db[[#This Row],[Column1]])/365,""))</f>
        <v/>
      </c>
      <c r="R605" s="42" t="str">
        <f ca="1">IF(emp_db[[#This Row],[Date of Birth]]&lt;&gt;"",(TODAY()-emp_db[[#This Row],[Date of Birth]])/365,"")</f>
        <v/>
      </c>
      <c r="S605" s="42">
        <f>YEAR(emp_db[[#This Row],[Column1]])</f>
        <v>1900</v>
      </c>
      <c r="T605" s="42">
        <f>MONTH(emp_db[[#This Row],[Column1]])</f>
        <v>1</v>
      </c>
      <c r="U605" s="42">
        <f>IFERROR(YEAR(emp_db[[#This Row],[Exit Date]]),"")</f>
        <v>1900</v>
      </c>
      <c r="V605" s="42">
        <f>IFERROR(MONTH(emp_db[[#This Row],[Exit Date]]),"")</f>
        <v>1</v>
      </c>
    </row>
    <row r="606" spans="2:22">
      <c r="B606" s="39"/>
      <c r="C606" s="39"/>
      <c r="D606" s="39"/>
      <c r="E606" s="39"/>
      <c r="F606" s="40"/>
      <c r="G606" s="38"/>
      <c r="H606" s="43"/>
      <c r="I606" s="43"/>
      <c r="J606" s="39"/>
      <c r="K606" s="38"/>
      <c r="L606" s="39"/>
      <c r="M606" s="39"/>
      <c r="N606" s="43"/>
      <c r="O606" s="38"/>
      <c r="P606" s="38"/>
      <c r="Q606" s="41" t="str">
        <f ca="1">IF(emp_db[[#This Row],[Exit Date]]&lt;&gt;"",(emp_db[[#This Row],[Exit Date]]-emp_db[[#This Row],[Column1]])/365,IF(emp_db[[#This Row],[ID]]&lt;&gt;"",(TODAY()-emp_db[[#This Row],[Column1]])/365,""))</f>
        <v/>
      </c>
      <c r="R606" s="42" t="str">
        <f ca="1">IF(emp_db[[#This Row],[Date of Birth]]&lt;&gt;"",(TODAY()-emp_db[[#This Row],[Date of Birth]])/365,"")</f>
        <v/>
      </c>
      <c r="S606" s="42">
        <f>YEAR(emp_db[[#This Row],[Column1]])</f>
        <v>1900</v>
      </c>
      <c r="T606" s="42">
        <f>MONTH(emp_db[[#This Row],[Column1]])</f>
        <v>1</v>
      </c>
      <c r="U606" s="42">
        <f>IFERROR(YEAR(emp_db[[#This Row],[Exit Date]]),"")</f>
        <v>1900</v>
      </c>
      <c r="V606" s="42">
        <f>IFERROR(MONTH(emp_db[[#This Row],[Exit Date]]),"")</f>
        <v>1</v>
      </c>
    </row>
    <row r="607" spans="2:22">
      <c r="B607" s="39"/>
      <c r="C607" s="39"/>
      <c r="D607" s="39"/>
      <c r="E607" s="39"/>
      <c r="F607" s="40"/>
      <c r="G607" s="38"/>
      <c r="H607" s="43"/>
      <c r="I607" s="43"/>
      <c r="J607" s="39"/>
      <c r="K607" s="38"/>
      <c r="L607" s="39"/>
      <c r="M607" s="39"/>
      <c r="N607" s="43"/>
      <c r="O607" s="38"/>
      <c r="P607" s="38"/>
      <c r="Q607" s="41" t="str">
        <f ca="1">IF(emp_db[[#This Row],[Exit Date]]&lt;&gt;"",(emp_db[[#This Row],[Exit Date]]-emp_db[[#This Row],[Column1]])/365,IF(emp_db[[#This Row],[ID]]&lt;&gt;"",(TODAY()-emp_db[[#This Row],[Column1]])/365,""))</f>
        <v/>
      </c>
      <c r="R607" s="42" t="str">
        <f ca="1">IF(emp_db[[#This Row],[Date of Birth]]&lt;&gt;"",(TODAY()-emp_db[[#This Row],[Date of Birth]])/365,"")</f>
        <v/>
      </c>
      <c r="S607" s="42">
        <f>YEAR(emp_db[[#This Row],[Column1]])</f>
        <v>1900</v>
      </c>
      <c r="T607" s="42">
        <f>MONTH(emp_db[[#This Row],[Column1]])</f>
        <v>1</v>
      </c>
      <c r="U607" s="42">
        <f>IFERROR(YEAR(emp_db[[#This Row],[Exit Date]]),"")</f>
        <v>1900</v>
      </c>
      <c r="V607" s="42">
        <f>IFERROR(MONTH(emp_db[[#This Row],[Exit Date]]),"")</f>
        <v>1</v>
      </c>
    </row>
    <row r="608" spans="2:22">
      <c r="B608" s="39"/>
      <c r="C608" s="39"/>
      <c r="D608" s="39"/>
      <c r="E608" s="39"/>
      <c r="F608" s="40"/>
      <c r="G608" s="38"/>
      <c r="H608" s="43"/>
      <c r="I608" s="43"/>
      <c r="J608" s="39"/>
      <c r="K608" s="38"/>
      <c r="L608" s="39"/>
      <c r="M608" s="39"/>
      <c r="N608" s="43"/>
      <c r="O608" s="38"/>
      <c r="P608" s="38"/>
      <c r="Q608" s="41" t="str">
        <f ca="1">IF(emp_db[[#This Row],[Exit Date]]&lt;&gt;"",(emp_db[[#This Row],[Exit Date]]-emp_db[[#This Row],[Column1]])/365,IF(emp_db[[#This Row],[ID]]&lt;&gt;"",(TODAY()-emp_db[[#This Row],[Column1]])/365,""))</f>
        <v/>
      </c>
      <c r="R608" s="42" t="str">
        <f ca="1">IF(emp_db[[#This Row],[Date of Birth]]&lt;&gt;"",(TODAY()-emp_db[[#This Row],[Date of Birth]])/365,"")</f>
        <v/>
      </c>
      <c r="S608" s="42">
        <f>YEAR(emp_db[[#This Row],[Column1]])</f>
        <v>1900</v>
      </c>
      <c r="T608" s="42">
        <f>MONTH(emp_db[[#This Row],[Column1]])</f>
        <v>1</v>
      </c>
      <c r="U608" s="42">
        <f>IFERROR(YEAR(emp_db[[#This Row],[Exit Date]]),"")</f>
        <v>1900</v>
      </c>
      <c r="V608" s="42">
        <f>IFERROR(MONTH(emp_db[[#This Row],[Exit Date]]),"")</f>
        <v>1</v>
      </c>
    </row>
    <row r="609" spans="2:22">
      <c r="B609" s="39"/>
      <c r="C609" s="39"/>
      <c r="D609" s="39"/>
      <c r="E609" s="39"/>
      <c r="F609" s="40"/>
      <c r="G609" s="38"/>
      <c r="H609" s="43"/>
      <c r="I609" s="43"/>
      <c r="J609" s="39"/>
      <c r="K609" s="38"/>
      <c r="L609" s="39"/>
      <c r="M609" s="39"/>
      <c r="N609" s="43"/>
      <c r="O609" s="38"/>
      <c r="P609" s="38"/>
      <c r="Q609" s="41" t="str">
        <f ca="1">IF(emp_db[[#This Row],[Exit Date]]&lt;&gt;"",(emp_db[[#This Row],[Exit Date]]-emp_db[[#This Row],[Column1]])/365,IF(emp_db[[#This Row],[ID]]&lt;&gt;"",(TODAY()-emp_db[[#This Row],[Column1]])/365,""))</f>
        <v/>
      </c>
      <c r="R609" s="42" t="str">
        <f ca="1">IF(emp_db[[#This Row],[Date of Birth]]&lt;&gt;"",(TODAY()-emp_db[[#This Row],[Date of Birth]])/365,"")</f>
        <v/>
      </c>
      <c r="S609" s="42">
        <f>YEAR(emp_db[[#This Row],[Column1]])</f>
        <v>1900</v>
      </c>
      <c r="T609" s="42">
        <f>MONTH(emp_db[[#This Row],[Column1]])</f>
        <v>1</v>
      </c>
      <c r="U609" s="42">
        <f>IFERROR(YEAR(emp_db[[#This Row],[Exit Date]]),"")</f>
        <v>1900</v>
      </c>
      <c r="V609" s="42">
        <f>IFERROR(MONTH(emp_db[[#This Row],[Exit Date]]),"")</f>
        <v>1</v>
      </c>
    </row>
    <row r="610" spans="2:22">
      <c r="B610" s="39"/>
      <c r="C610" s="39"/>
      <c r="D610" s="39"/>
      <c r="E610" s="39"/>
      <c r="F610" s="40"/>
      <c r="G610" s="38"/>
      <c r="H610" s="43"/>
      <c r="I610" s="43"/>
      <c r="J610" s="39"/>
      <c r="K610" s="38"/>
      <c r="L610" s="39"/>
      <c r="M610" s="39"/>
      <c r="N610" s="43"/>
      <c r="O610" s="38"/>
      <c r="P610" s="38"/>
      <c r="Q610" s="41" t="str">
        <f ca="1">IF(emp_db[[#This Row],[Exit Date]]&lt;&gt;"",(emp_db[[#This Row],[Exit Date]]-emp_db[[#This Row],[Column1]])/365,IF(emp_db[[#This Row],[ID]]&lt;&gt;"",(TODAY()-emp_db[[#This Row],[Column1]])/365,""))</f>
        <v/>
      </c>
      <c r="R610" s="42" t="str">
        <f ca="1">IF(emp_db[[#This Row],[Date of Birth]]&lt;&gt;"",(TODAY()-emp_db[[#This Row],[Date of Birth]])/365,"")</f>
        <v/>
      </c>
      <c r="S610" s="42">
        <f>YEAR(emp_db[[#This Row],[Column1]])</f>
        <v>1900</v>
      </c>
      <c r="T610" s="42">
        <f>MONTH(emp_db[[#This Row],[Column1]])</f>
        <v>1</v>
      </c>
      <c r="U610" s="42">
        <f>IFERROR(YEAR(emp_db[[#This Row],[Exit Date]]),"")</f>
        <v>1900</v>
      </c>
      <c r="V610" s="42">
        <f>IFERROR(MONTH(emp_db[[#This Row],[Exit Date]]),"")</f>
        <v>1</v>
      </c>
    </row>
    <row r="611" spans="2:22">
      <c r="B611" s="39"/>
      <c r="C611" s="39"/>
      <c r="D611" s="39"/>
      <c r="E611" s="39"/>
      <c r="F611" s="40"/>
      <c r="G611" s="38"/>
      <c r="H611" s="43"/>
      <c r="I611" s="43"/>
      <c r="J611" s="39"/>
      <c r="K611" s="38"/>
      <c r="L611" s="39"/>
      <c r="M611" s="39"/>
      <c r="N611" s="43"/>
      <c r="O611" s="38"/>
      <c r="P611" s="38"/>
      <c r="Q611" s="41" t="str">
        <f ca="1">IF(emp_db[[#This Row],[Exit Date]]&lt;&gt;"",(emp_db[[#This Row],[Exit Date]]-emp_db[[#This Row],[Column1]])/365,IF(emp_db[[#This Row],[ID]]&lt;&gt;"",(TODAY()-emp_db[[#This Row],[Column1]])/365,""))</f>
        <v/>
      </c>
      <c r="R611" s="42" t="str">
        <f ca="1">IF(emp_db[[#This Row],[Date of Birth]]&lt;&gt;"",(TODAY()-emp_db[[#This Row],[Date of Birth]])/365,"")</f>
        <v/>
      </c>
      <c r="S611" s="42">
        <f>YEAR(emp_db[[#This Row],[Column1]])</f>
        <v>1900</v>
      </c>
      <c r="T611" s="42">
        <f>MONTH(emp_db[[#This Row],[Column1]])</f>
        <v>1</v>
      </c>
      <c r="U611" s="42">
        <f>IFERROR(YEAR(emp_db[[#This Row],[Exit Date]]),"")</f>
        <v>1900</v>
      </c>
      <c r="V611" s="42">
        <f>IFERROR(MONTH(emp_db[[#This Row],[Exit Date]]),"")</f>
        <v>1</v>
      </c>
    </row>
    <row r="612" spans="2:22">
      <c r="B612" s="39"/>
      <c r="C612" s="39"/>
      <c r="D612" s="39"/>
      <c r="E612" s="39"/>
      <c r="F612" s="40"/>
      <c r="G612" s="38"/>
      <c r="H612" s="43"/>
      <c r="I612" s="43"/>
      <c r="J612" s="39"/>
      <c r="K612" s="38"/>
      <c r="L612" s="39"/>
      <c r="M612" s="39"/>
      <c r="N612" s="43"/>
      <c r="O612" s="38"/>
      <c r="P612" s="38"/>
      <c r="Q612" s="41" t="str">
        <f ca="1">IF(emp_db[[#This Row],[Exit Date]]&lt;&gt;"",(emp_db[[#This Row],[Exit Date]]-emp_db[[#This Row],[Column1]])/365,IF(emp_db[[#This Row],[ID]]&lt;&gt;"",(TODAY()-emp_db[[#This Row],[Column1]])/365,""))</f>
        <v/>
      </c>
      <c r="R612" s="42" t="str">
        <f ca="1">IF(emp_db[[#This Row],[Date of Birth]]&lt;&gt;"",(TODAY()-emp_db[[#This Row],[Date of Birth]])/365,"")</f>
        <v/>
      </c>
      <c r="S612" s="42">
        <f>YEAR(emp_db[[#This Row],[Column1]])</f>
        <v>1900</v>
      </c>
      <c r="T612" s="42">
        <f>MONTH(emp_db[[#This Row],[Column1]])</f>
        <v>1</v>
      </c>
      <c r="U612" s="42">
        <f>IFERROR(YEAR(emp_db[[#This Row],[Exit Date]]),"")</f>
        <v>1900</v>
      </c>
      <c r="V612" s="42">
        <f>IFERROR(MONTH(emp_db[[#This Row],[Exit Date]]),"")</f>
        <v>1</v>
      </c>
    </row>
    <row r="613" spans="2:22">
      <c r="B613" s="39"/>
      <c r="C613" s="39"/>
      <c r="D613" s="39"/>
      <c r="E613" s="39"/>
      <c r="F613" s="40"/>
      <c r="G613" s="38"/>
      <c r="H613" s="43"/>
      <c r="I613" s="43"/>
      <c r="J613" s="39"/>
      <c r="K613" s="38"/>
      <c r="L613" s="39"/>
      <c r="M613" s="39"/>
      <c r="N613" s="43"/>
      <c r="O613" s="38"/>
      <c r="P613" s="38"/>
      <c r="Q613" s="41" t="str">
        <f ca="1">IF(emp_db[[#This Row],[Exit Date]]&lt;&gt;"",(emp_db[[#This Row],[Exit Date]]-emp_db[[#This Row],[Column1]])/365,IF(emp_db[[#This Row],[ID]]&lt;&gt;"",(TODAY()-emp_db[[#This Row],[Column1]])/365,""))</f>
        <v/>
      </c>
      <c r="R613" s="42" t="str">
        <f ca="1">IF(emp_db[[#This Row],[Date of Birth]]&lt;&gt;"",(TODAY()-emp_db[[#This Row],[Date of Birth]])/365,"")</f>
        <v/>
      </c>
      <c r="S613" s="42">
        <f>YEAR(emp_db[[#This Row],[Column1]])</f>
        <v>1900</v>
      </c>
      <c r="T613" s="42">
        <f>MONTH(emp_db[[#This Row],[Column1]])</f>
        <v>1</v>
      </c>
      <c r="U613" s="42">
        <f>IFERROR(YEAR(emp_db[[#This Row],[Exit Date]]),"")</f>
        <v>1900</v>
      </c>
      <c r="V613" s="42">
        <f>IFERROR(MONTH(emp_db[[#This Row],[Exit Date]]),"")</f>
        <v>1</v>
      </c>
    </row>
    <row r="614" spans="2:22">
      <c r="B614" s="39"/>
      <c r="C614" s="39"/>
      <c r="D614" s="39"/>
      <c r="E614" s="39"/>
      <c r="F614" s="40"/>
      <c r="G614" s="38"/>
      <c r="H614" s="43"/>
      <c r="I614" s="43"/>
      <c r="J614" s="39"/>
      <c r="K614" s="38"/>
      <c r="L614" s="39"/>
      <c r="M614" s="39"/>
      <c r="N614" s="43"/>
      <c r="O614" s="38"/>
      <c r="P614" s="38"/>
      <c r="Q614" s="41" t="str">
        <f ca="1">IF(emp_db[[#This Row],[Exit Date]]&lt;&gt;"",(emp_db[[#This Row],[Exit Date]]-emp_db[[#This Row],[Column1]])/365,IF(emp_db[[#This Row],[ID]]&lt;&gt;"",(TODAY()-emp_db[[#This Row],[Column1]])/365,""))</f>
        <v/>
      </c>
      <c r="R614" s="42" t="str">
        <f ca="1">IF(emp_db[[#This Row],[Date of Birth]]&lt;&gt;"",(TODAY()-emp_db[[#This Row],[Date of Birth]])/365,"")</f>
        <v/>
      </c>
      <c r="S614" s="42">
        <f>YEAR(emp_db[[#This Row],[Column1]])</f>
        <v>1900</v>
      </c>
      <c r="T614" s="42">
        <f>MONTH(emp_db[[#This Row],[Column1]])</f>
        <v>1</v>
      </c>
      <c r="U614" s="42">
        <f>IFERROR(YEAR(emp_db[[#This Row],[Exit Date]]),"")</f>
        <v>1900</v>
      </c>
      <c r="V614" s="42">
        <f>IFERROR(MONTH(emp_db[[#This Row],[Exit Date]]),"")</f>
        <v>1</v>
      </c>
    </row>
    <row r="615" spans="2:22">
      <c r="B615" s="39"/>
      <c r="C615" s="39"/>
      <c r="D615" s="39"/>
      <c r="E615" s="39"/>
      <c r="F615" s="40"/>
      <c r="G615" s="38"/>
      <c r="H615" s="43"/>
      <c r="I615" s="43"/>
      <c r="J615" s="39"/>
      <c r="K615" s="38"/>
      <c r="L615" s="39"/>
      <c r="M615" s="39"/>
      <c r="N615" s="43"/>
      <c r="O615" s="38"/>
      <c r="P615" s="38"/>
      <c r="Q615" s="41" t="str">
        <f ca="1">IF(emp_db[[#This Row],[Exit Date]]&lt;&gt;"",(emp_db[[#This Row],[Exit Date]]-emp_db[[#This Row],[Column1]])/365,IF(emp_db[[#This Row],[ID]]&lt;&gt;"",(TODAY()-emp_db[[#This Row],[Column1]])/365,""))</f>
        <v/>
      </c>
      <c r="R615" s="42" t="str">
        <f ca="1">IF(emp_db[[#This Row],[Date of Birth]]&lt;&gt;"",(TODAY()-emp_db[[#This Row],[Date of Birth]])/365,"")</f>
        <v/>
      </c>
      <c r="S615" s="42">
        <f>YEAR(emp_db[[#This Row],[Column1]])</f>
        <v>1900</v>
      </c>
      <c r="T615" s="42">
        <f>MONTH(emp_db[[#This Row],[Column1]])</f>
        <v>1</v>
      </c>
      <c r="U615" s="42">
        <f>IFERROR(YEAR(emp_db[[#This Row],[Exit Date]]),"")</f>
        <v>1900</v>
      </c>
      <c r="V615" s="42">
        <f>IFERROR(MONTH(emp_db[[#This Row],[Exit Date]]),"")</f>
        <v>1</v>
      </c>
    </row>
    <row r="616" spans="2:22">
      <c r="B616" s="39"/>
      <c r="C616" s="39"/>
      <c r="D616" s="39"/>
      <c r="E616" s="39"/>
      <c r="F616" s="40"/>
      <c r="G616" s="38"/>
      <c r="H616" s="43"/>
      <c r="I616" s="43"/>
      <c r="J616" s="39"/>
      <c r="K616" s="38"/>
      <c r="L616" s="39"/>
      <c r="M616" s="39"/>
      <c r="N616" s="43"/>
      <c r="O616" s="38"/>
      <c r="P616" s="38"/>
      <c r="Q616" s="41" t="str">
        <f ca="1">IF(emp_db[[#This Row],[Exit Date]]&lt;&gt;"",(emp_db[[#This Row],[Exit Date]]-emp_db[[#This Row],[Column1]])/365,IF(emp_db[[#This Row],[ID]]&lt;&gt;"",(TODAY()-emp_db[[#This Row],[Column1]])/365,""))</f>
        <v/>
      </c>
      <c r="R616" s="42" t="str">
        <f ca="1">IF(emp_db[[#This Row],[Date of Birth]]&lt;&gt;"",(TODAY()-emp_db[[#This Row],[Date of Birth]])/365,"")</f>
        <v/>
      </c>
      <c r="S616" s="42">
        <f>YEAR(emp_db[[#This Row],[Column1]])</f>
        <v>1900</v>
      </c>
      <c r="T616" s="42">
        <f>MONTH(emp_db[[#This Row],[Column1]])</f>
        <v>1</v>
      </c>
      <c r="U616" s="42">
        <f>IFERROR(YEAR(emp_db[[#This Row],[Exit Date]]),"")</f>
        <v>1900</v>
      </c>
      <c r="V616" s="42">
        <f>IFERROR(MONTH(emp_db[[#This Row],[Exit Date]]),"")</f>
        <v>1</v>
      </c>
    </row>
    <row r="617" spans="2:22">
      <c r="B617" s="39"/>
      <c r="C617" s="39"/>
      <c r="D617" s="39"/>
      <c r="E617" s="39"/>
      <c r="F617" s="40"/>
      <c r="G617" s="38"/>
      <c r="H617" s="43"/>
      <c r="I617" s="43"/>
      <c r="J617" s="39"/>
      <c r="K617" s="38"/>
      <c r="L617" s="39"/>
      <c r="M617" s="39"/>
      <c r="N617" s="43"/>
      <c r="O617" s="38"/>
      <c r="P617" s="38"/>
      <c r="Q617" s="41" t="str">
        <f ca="1">IF(emp_db[[#This Row],[Exit Date]]&lt;&gt;"",(emp_db[[#This Row],[Exit Date]]-emp_db[[#This Row],[Column1]])/365,IF(emp_db[[#This Row],[ID]]&lt;&gt;"",(TODAY()-emp_db[[#This Row],[Column1]])/365,""))</f>
        <v/>
      </c>
      <c r="R617" s="42" t="str">
        <f ca="1">IF(emp_db[[#This Row],[Date of Birth]]&lt;&gt;"",(TODAY()-emp_db[[#This Row],[Date of Birth]])/365,"")</f>
        <v/>
      </c>
      <c r="S617" s="42">
        <f>YEAR(emp_db[[#This Row],[Column1]])</f>
        <v>1900</v>
      </c>
      <c r="T617" s="42">
        <f>MONTH(emp_db[[#This Row],[Column1]])</f>
        <v>1</v>
      </c>
      <c r="U617" s="42">
        <f>IFERROR(YEAR(emp_db[[#This Row],[Exit Date]]),"")</f>
        <v>1900</v>
      </c>
      <c r="V617" s="42">
        <f>IFERROR(MONTH(emp_db[[#This Row],[Exit Date]]),"")</f>
        <v>1</v>
      </c>
    </row>
    <row r="618" spans="2:22">
      <c r="B618" s="39"/>
      <c r="C618" s="39"/>
      <c r="D618" s="39"/>
      <c r="E618" s="39"/>
      <c r="F618" s="40"/>
      <c r="G618" s="38"/>
      <c r="H618" s="43"/>
      <c r="I618" s="43"/>
      <c r="J618" s="39"/>
      <c r="K618" s="38"/>
      <c r="L618" s="39"/>
      <c r="M618" s="39"/>
      <c r="N618" s="43"/>
      <c r="O618" s="38"/>
      <c r="P618" s="38"/>
      <c r="Q618" s="41" t="str">
        <f ca="1">IF(emp_db[[#This Row],[Exit Date]]&lt;&gt;"",(emp_db[[#This Row],[Exit Date]]-emp_db[[#This Row],[Column1]])/365,IF(emp_db[[#This Row],[ID]]&lt;&gt;"",(TODAY()-emp_db[[#This Row],[Column1]])/365,""))</f>
        <v/>
      </c>
      <c r="R618" s="42" t="str">
        <f ca="1">IF(emp_db[[#This Row],[Date of Birth]]&lt;&gt;"",(TODAY()-emp_db[[#This Row],[Date of Birth]])/365,"")</f>
        <v/>
      </c>
      <c r="S618" s="42">
        <f>YEAR(emp_db[[#This Row],[Column1]])</f>
        <v>1900</v>
      </c>
      <c r="T618" s="42">
        <f>MONTH(emp_db[[#This Row],[Column1]])</f>
        <v>1</v>
      </c>
      <c r="U618" s="42">
        <f>IFERROR(YEAR(emp_db[[#This Row],[Exit Date]]),"")</f>
        <v>1900</v>
      </c>
      <c r="V618" s="42">
        <f>IFERROR(MONTH(emp_db[[#This Row],[Exit Date]]),"")</f>
        <v>1</v>
      </c>
    </row>
    <row r="619" spans="2:22">
      <c r="B619" s="39"/>
      <c r="C619" s="39"/>
      <c r="D619" s="39"/>
      <c r="E619" s="39"/>
      <c r="F619" s="40"/>
      <c r="G619" s="38"/>
      <c r="H619" s="43"/>
      <c r="I619" s="43"/>
      <c r="J619" s="39"/>
      <c r="K619" s="38"/>
      <c r="L619" s="39"/>
      <c r="M619" s="39"/>
      <c r="N619" s="43"/>
      <c r="O619" s="38"/>
      <c r="P619" s="38"/>
      <c r="Q619" s="41" t="str">
        <f ca="1">IF(emp_db[[#This Row],[Exit Date]]&lt;&gt;"",(emp_db[[#This Row],[Exit Date]]-emp_db[[#This Row],[Column1]])/365,IF(emp_db[[#This Row],[ID]]&lt;&gt;"",(TODAY()-emp_db[[#This Row],[Column1]])/365,""))</f>
        <v/>
      </c>
      <c r="R619" s="42" t="str">
        <f ca="1">IF(emp_db[[#This Row],[Date of Birth]]&lt;&gt;"",(TODAY()-emp_db[[#This Row],[Date of Birth]])/365,"")</f>
        <v/>
      </c>
      <c r="S619" s="42">
        <f>YEAR(emp_db[[#This Row],[Column1]])</f>
        <v>1900</v>
      </c>
      <c r="T619" s="42">
        <f>MONTH(emp_db[[#This Row],[Column1]])</f>
        <v>1</v>
      </c>
      <c r="U619" s="42">
        <f>IFERROR(YEAR(emp_db[[#This Row],[Exit Date]]),"")</f>
        <v>1900</v>
      </c>
      <c r="V619" s="42">
        <f>IFERROR(MONTH(emp_db[[#This Row],[Exit Date]]),"")</f>
        <v>1</v>
      </c>
    </row>
    <row r="620" spans="2:22">
      <c r="B620" s="39"/>
      <c r="C620" s="39"/>
      <c r="D620" s="39"/>
      <c r="E620" s="39"/>
      <c r="F620" s="40"/>
      <c r="G620" s="38"/>
      <c r="H620" s="43"/>
      <c r="I620" s="43"/>
      <c r="J620" s="39"/>
      <c r="K620" s="38"/>
      <c r="L620" s="39"/>
      <c r="M620" s="39"/>
      <c r="N620" s="43"/>
      <c r="O620" s="38"/>
      <c r="P620" s="38"/>
      <c r="Q620" s="41" t="str">
        <f ca="1">IF(emp_db[[#This Row],[Exit Date]]&lt;&gt;"",(emp_db[[#This Row],[Exit Date]]-emp_db[[#This Row],[Column1]])/365,IF(emp_db[[#This Row],[ID]]&lt;&gt;"",(TODAY()-emp_db[[#This Row],[Column1]])/365,""))</f>
        <v/>
      </c>
      <c r="R620" s="42" t="str">
        <f ca="1">IF(emp_db[[#This Row],[Date of Birth]]&lt;&gt;"",(TODAY()-emp_db[[#This Row],[Date of Birth]])/365,"")</f>
        <v/>
      </c>
      <c r="S620" s="42">
        <f>YEAR(emp_db[[#This Row],[Column1]])</f>
        <v>1900</v>
      </c>
      <c r="T620" s="42">
        <f>MONTH(emp_db[[#This Row],[Column1]])</f>
        <v>1</v>
      </c>
      <c r="U620" s="42">
        <f>IFERROR(YEAR(emp_db[[#This Row],[Exit Date]]),"")</f>
        <v>1900</v>
      </c>
      <c r="V620" s="42">
        <f>IFERROR(MONTH(emp_db[[#This Row],[Exit Date]]),"")</f>
        <v>1</v>
      </c>
    </row>
    <row r="621" spans="2:22">
      <c r="B621" s="39"/>
      <c r="C621" s="39"/>
      <c r="D621" s="39"/>
      <c r="E621" s="39"/>
      <c r="F621" s="40"/>
      <c r="G621" s="38"/>
      <c r="H621" s="43"/>
      <c r="I621" s="43"/>
      <c r="J621" s="39"/>
      <c r="K621" s="38"/>
      <c r="L621" s="39"/>
      <c r="M621" s="39"/>
      <c r="N621" s="43"/>
      <c r="O621" s="38"/>
      <c r="P621" s="38"/>
      <c r="Q621" s="41" t="str">
        <f ca="1">IF(emp_db[[#This Row],[Exit Date]]&lt;&gt;"",(emp_db[[#This Row],[Exit Date]]-emp_db[[#This Row],[Column1]])/365,IF(emp_db[[#This Row],[ID]]&lt;&gt;"",(TODAY()-emp_db[[#This Row],[Column1]])/365,""))</f>
        <v/>
      </c>
      <c r="R621" s="42" t="str">
        <f ca="1">IF(emp_db[[#This Row],[Date of Birth]]&lt;&gt;"",(TODAY()-emp_db[[#This Row],[Date of Birth]])/365,"")</f>
        <v/>
      </c>
      <c r="S621" s="42">
        <f>YEAR(emp_db[[#This Row],[Column1]])</f>
        <v>1900</v>
      </c>
      <c r="T621" s="42">
        <f>MONTH(emp_db[[#This Row],[Column1]])</f>
        <v>1</v>
      </c>
      <c r="U621" s="42">
        <f>IFERROR(YEAR(emp_db[[#This Row],[Exit Date]]),"")</f>
        <v>1900</v>
      </c>
      <c r="V621" s="42">
        <f>IFERROR(MONTH(emp_db[[#This Row],[Exit Date]]),"")</f>
        <v>1</v>
      </c>
    </row>
    <row r="622" spans="2:22">
      <c r="B622" s="39"/>
      <c r="C622" s="39"/>
      <c r="D622" s="39"/>
      <c r="E622" s="39"/>
      <c r="F622" s="40"/>
      <c r="G622" s="38"/>
      <c r="H622" s="43"/>
      <c r="I622" s="43"/>
      <c r="J622" s="39"/>
      <c r="K622" s="38"/>
      <c r="L622" s="39"/>
      <c r="M622" s="39"/>
      <c r="N622" s="43"/>
      <c r="O622" s="38"/>
      <c r="P622" s="38"/>
      <c r="Q622" s="41" t="str">
        <f ca="1">IF(emp_db[[#This Row],[Exit Date]]&lt;&gt;"",(emp_db[[#This Row],[Exit Date]]-emp_db[[#This Row],[Column1]])/365,IF(emp_db[[#This Row],[ID]]&lt;&gt;"",(TODAY()-emp_db[[#This Row],[Column1]])/365,""))</f>
        <v/>
      </c>
      <c r="R622" s="42" t="str">
        <f ca="1">IF(emp_db[[#This Row],[Date of Birth]]&lt;&gt;"",(TODAY()-emp_db[[#This Row],[Date of Birth]])/365,"")</f>
        <v/>
      </c>
      <c r="S622" s="42">
        <f>YEAR(emp_db[[#This Row],[Column1]])</f>
        <v>1900</v>
      </c>
      <c r="T622" s="42">
        <f>MONTH(emp_db[[#This Row],[Column1]])</f>
        <v>1</v>
      </c>
      <c r="U622" s="42">
        <f>IFERROR(YEAR(emp_db[[#This Row],[Exit Date]]),"")</f>
        <v>1900</v>
      </c>
      <c r="V622" s="42">
        <f>IFERROR(MONTH(emp_db[[#This Row],[Exit Date]]),"")</f>
        <v>1</v>
      </c>
    </row>
    <row r="623" spans="2:22">
      <c r="B623" s="39"/>
      <c r="C623" s="39"/>
      <c r="D623" s="39"/>
      <c r="E623" s="39"/>
      <c r="F623" s="40"/>
      <c r="G623" s="38"/>
      <c r="H623" s="43"/>
      <c r="I623" s="43"/>
      <c r="J623" s="39"/>
      <c r="K623" s="38"/>
      <c r="L623" s="39"/>
      <c r="M623" s="39"/>
      <c r="N623" s="43"/>
      <c r="O623" s="38"/>
      <c r="P623" s="38"/>
      <c r="Q623" s="41" t="str">
        <f ca="1">IF(emp_db[[#This Row],[Exit Date]]&lt;&gt;"",(emp_db[[#This Row],[Exit Date]]-emp_db[[#This Row],[Column1]])/365,IF(emp_db[[#This Row],[ID]]&lt;&gt;"",(TODAY()-emp_db[[#This Row],[Column1]])/365,""))</f>
        <v/>
      </c>
      <c r="R623" s="42" t="str">
        <f ca="1">IF(emp_db[[#This Row],[Date of Birth]]&lt;&gt;"",(TODAY()-emp_db[[#This Row],[Date of Birth]])/365,"")</f>
        <v/>
      </c>
      <c r="S623" s="42">
        <f>YEAR(emp_db[[#This Row],[Column1]])</f>
        <v>1900</v>
      </c>
      <c r="T623" s="42">
        <f>MONTH(emp_db[[#This Row],[Column1]])</f>
        <v>1</v>
      </c>
      <c r="U623" s="42">
        <f>IFERROR(YEAR(emp_db[[#This Row],[Exit Date]]),"")</f>
        <v>1900</v>
      </c>
      <c r="V623" s="42">
        <f>IFERROR(MONTH(emp_db[[#This Row],[Exit Date]]),"")</f>
        <v>1</v>
      </c>
    </row>
    <row r="624" spans="2:22">
      <c r="B624" s="39"/>
      <c r="C624" s="39"/>
      <c r="D624" s="39"/>
      <c r="E624" s="39"/>
      <c r="F624" s="40"/>
      <c r="G624" s="38"/>
      <c r="H624" s="43"/>
      <c r="I624" s="43"/>
      <c r="J624" s="39"/>
      <c r="K624" s="38"/>
      <c r="L624" s="39"/>
      <c r="M624" s="39"/>
      <c r="N624" s="43"/>
      <c r="O624" s="38"/>
      <c r="P624" s="38"/>
      <c r="Q624" s="41" t="str">
        <f ca="1">IF(emp_db[[#This Row],[Exit Date]]&lt;&gt;"",(emp_db[[#This Row],[Exit Date]]-emp_db[[#This Row],[Column1]])/365,IF(emp_db[[#This Row],[ID]]&lt;&gt;"",(TODAY()-emp_db[[#This Row],[Column1]])/365,""))</f>
        <v/>
      </c>
      <c r="R624" s="42" t="str">
        <f ca="1">IF(emp_db[[#This Row],[Date of Birth]]&lt;&gt;"",(TODAY()-emp_db[[#This Row],[Date of Birth]])/365,"")</f>
        <v/>
      </c>
      <c r="S624" s="42">
        <f>YEAR(emp_db[[#This Row],[Column1]])</f>
        <v>1900</v>
      </c>
      <c r="T624" s="42">
        <f>MONTH(emp_db[[#This Row],[Column1]])</f>
        <v>1</v>
      </c>
      <c r="U624" s="42">
        <f>IFERROR(YEAR(emp_db[[#This Row],[Exit Date]]),"")</f>
        <v>1900</v>
      </c>
      <c r="V624" s="42">
        <f>IFERROR(MONTH(emp_db[[#This Row],[Exit Date]]),"")</f>
        <v>1</v>
      </c>
    </row>
    <row r="625" spans="2:22">
      <c r="B625" s="39"/>
      <c r="C625" s="39"/>
      <c r="D625" s="39"/>
      <c r="E625" s="39"/>
      <c r="F625" s="40"/>
      <c r="G625" s="38"/>
      <c r="H625" s="43"/>
      <c r="I625" s="43"/>
      <c r="J625" s="39"/>
      <c r="K625" s="38"/>
      <c r="L625" s="39"/>
      <c r="M625" s="39"/>
      <c r="N625" s="43"/>
      <c r="O625" s="38"/>
      <c r="P625" s="38"/>
      <c r="Q625" s="41" t="str">
        <f ca="1">IF(emp_db[[#This Row],[Exit Date]]&lt;&gt;"",(emp_db[[#This Row],[Exit Date]]-emp_db[[#This Row],[Column1]])/365,IF(emp_db[[#This Row],[ID]]&lt;&gt;"",(TODAY()-emp_db[[#This Row],[Column1]])/365,""))</f>
        <v/>
      </c>
      <c r="R625" s="42" t="str">
        <f ca="1">IF(emp_db[[#This Row],[Date of Birth]]&lt;&gt;"",(TODAY()-emp_db[[#This Row],[Date of Birth]])/365,"")</f>
        <v/>
      </c>
      <c r="S625" s="42">
        <f>YEAR(emp_db[[#This Row],[Column1]])</f>
        <v>1900</v>
      </c>
      <c r="T625" s="42">
        <f>MONTH(emp_db[[#This Row],[Column1]])</f>
        <v>1</v>
      </c>
      <c r="U625" s="42">
        <f>IFERROR(YEAR(emp_db[[#This Row],[Exit Date]]),"")</f>
        <v>1900</v>
      </c>
      <c r="V625" s="42">
        <f>IFERROR(MONTH(emp_db[[#This Row],[Exit Date]]),"")</f>
        <v>1</v>
      </c>
    </row>
    <row r="626" spans="2:22">
      <c r="B626" s="39"/>
      <c r="C626" s="39"/>
      <c r="D626" s="39"/>
      <c r="E626" s="39"/>
      <c r="F626" s="40"/>
      <c r="G626" s="38"/>
      <c r="H626" s="43"/>
      <c r="I626" s="43"/>
      <c r="J626" s="39"/>
      <c r="K626" s="38"/>
      <c r="L626" s="39"/>
      <c r="M626" s="39"/>
      <c r="N626" s="43"/>
      <c r="O626" s="38"/>
      <c r="P626" s="38"/>
      <c r="Q626" s="41" t="str">
        <f ca="1">IF(emp_db[[#This Row],[Exit Date]]&lt;&gt;"",(emp_db[[#This Row],[Exit Date]]-emp_db[[#This Row],[Column1]])/365,IF(emp_db[[#This Row],[ID]]&lt;&gt;"",(TODAY()-emp_db[[#This Row],[Column1]])/365,""))</f>
        <v/>
      </c>
      <c r="R626" s="42" t="str">
        <f ca="1">IF(emp_db[[#This Row],[Date of Birth]]&lt;&gt;"",(TODAY()-emp_db[[#This Row],[Date of Birth]])/365,"")</f>
        <v/>
      </c>
      <c r="S626" s="42">
        <f>YEAR(emp_db[[#This Row],[Column1]])</f>
        <v>1900</v>
      </c>
      <c r="T626" s="42">
        <f>MONTH(emp_db[[#This Row],[Column1]])</f>
        <v>1</v>
      </c>
      <c r="U626" s="42">
        <f>IFERROR(YEAR(emp_db[[#This Row],[Exit Date]]),"")</f>
        <v>1900</v>
      </c>
      <c r="V626" s="42">
        <f>IFERROR(MONTH(emp_db[[#This Row],[Exit Date]]),"")</f>
        <v>1</v>
      </c>
    </row>
    <row r="627" spans="2:22">
      <c r="B627" s="39"/>
      <c r="C627" s="39"/>
      <c r="D627" s="39"/>
      <c r="E627" s="39"/>
      <c r="F627" s="40"/>
      <c r="G627" s="38"/>
      <c r="H627" s="43"/>
      <c r="I627" s="43"/>
      <c r="J627" s="39"/>
      <c r="K627" s="38"/>
      <c r="L627" s="39"/>
      <c r="M627" s="39"/>
      <c r="N627" s="43"/>
      <c r="O627" s="38"/>
      <c r="P627" s="38"/>
      <c r="Q627" s="41" t="str">
        <f ca="1">IF(emp_db[[#This Row],[Exit Date]]&lt;&gt;"",(emp_db[[#This Row],[Exit Date]]-emp_db[[#This Row],[Column1]])/365,IF(emp_db[[#This Row],[ID]]&lt;&gt;"",(TODAY()-emp_db[[#This Row],[Column1]])/365,""))</f>
        <v/>
      </c>
      <c r="R627" s="42" t="str">
        <f ca="1">IF(emp_db[[#This Row],[Date of Birth]]&lt;&gt;"",(TODAY()-emp_db[[#This Row],[Date of Birth]])/365,"")</f>
        <v/>
      </c>
      <c r="S627" s="42">
        <f>YEAR(emp_db[[#This Row],[Column1]])</f>
        <v>1900</v>
      </c>
      <c r="T627" s="42">
        <f>MONTH(emp_db[[#This Row],[Column1]])</f>
        <v>1</v>
      </c>
      <c r="U627" s="42">
        <f>IFERROR(YEAR(emp_db[[#This Row],[Exit Date]]),"")</f>
        <v>1900</v>
      </c>
      <c r="V627" s="42">
        <f>IFERROR(MONTH(emp_db[[#This Row],[Exit Date]]),"")</f>
        <v>1</v>
      </c>
    </row>
    <row r="628" spans="2:22">
      <c r="B628" s="39"/>
      <c r="C628" s="39"/>
      <c r="D628" s="39"/>
      <c r="E628" s="39"/>
      <c r="F628" s="40"/>
      <c r="G628" s="38"/>
      <c r="H628" s="43"/>
      <c r="I628" s="43"/>
      <c r="J628" s="39"/>
      <c r="K628" s="38"/>
      <c r="L628" s="39"/>
      <c r="M628" s="39"/>
      <c r="N628" s="43"/>
      <c r="O628" s="38"/>
      <c r="P628" s="38"/>
      <c r="Q628" s="41" t="str">
        <f ca="1">IF(emp_db[[#This Row],[Exit Date]]&lt;&gt;"",(emp_db[[#This Row],[Exit Date]]-emp_db[[#This Row],[Column1]])/365,IF(emp_db[[#This Row],[ID]]&lt;&gt;"",(TODAY()-emp_db[[#This Row],[Column1]])/365,""))</f>
        <v/>
      </c>
      <c r="R628" s="42" t="str">
        <f ca="1">IF(emp_db[[#This Row],[Date of Birth]]&lt;&gt;"",(TODAY()-emp_db[[#This Row],[Date of Birth]])/365,"")</f>
        <v/>
      </c>
      <c r="S628" s="42">
        <f>YEAR(emp_db[[#This Row],[Column1]])</f>
        <v>1900</v>
      </c>
      <c r="T628" s="42">
        <f>MONTH(emp_db[[#This Row],[Column1]])</f>
        <v>1</v>
      </c>
      <c r="U628" s="42">
        <f>IFERROR(YEAR(emp_db[[#This Row],[Exit Date]]),"")</f>
        <v>1900</v>
      </c>
      <c r="V628" s="42">
        <f>IFERROR(MONTH(emp_db[[#This Row],[Exit Date]]),"")</f>
        <v>1</v>
      </c>
    </row>
    <row r="629" spans="2:22">
      <c r="B629" s="39"/>
      <c r="C629" s="39"/>
      <c r="D629" s="39"/>
      <c r="E629" s="39"/>
      <c r="F629" s="40"/>
      <c r="G629" s="38"/>
      <c r="H629" s="43"/>
      <c r="I629" s="43"/>
      <c r="J629" s="39"/>
      <c r="K629" s="38"/>
      <c r="L629" s="39"/>
      <c r="M629" s="39"/>
      <c r="N629" s="43"/>
      <c r="O629" s="38"/>
      <c r="P629" s="38"/>
      <c r="Q629" s="41" t="str">
        <f ca="1">IF(emp_db[[#This Row],[Exit Date]]&lt;&gt;"",(emp_db[[#This Row],[Exit Date]]-emp_db[[#This Row],[Column1]])/365,IF(emp_db[[#This Row],[ID]]&lt;&gt;"",(TODAY()-emp_db[[#This Row],[Column1]])/365,""))</f>
        <v/>
      </c>
      <c r="R629" s="42" t="str">
        <f ca="1">IF(emp_db[[#This Row],[Date of Birth]]&lt;&gt;"",(TODAY()-emp_db[[#This Row],[Date of Birth]])/365,"")</f>
        <v/>
      </c>
      <c r="S629" s="42">
        <f>YEAR(emp_db[[#This Row],[Column1]])</f>
        <v>1900</v>
      </c>
      <c r="T629" s="42">
        <f>MONTH(emp_db[[#This Row],[Column1]])</f>
        <v>1</v>
      </c>
      <c r="U629" s="42">
        <f>IFERROR(YEAR(emp_db[[#This Row],[Exit Date]]),"")</f>
        <v>1900</v>
      </c>
      <c r="V629" s="42">
        <f>IFERROR(MONTH(emp_db[[#This Row],[Exit Date]]),"")</f>
        <v>1</v>
      </c>
    </row>
    <row r="630" spans="2:22">
      <c r="B630" s="39"/>
      <c r="C630" s="39"/>
      <c r="D630" s="39"/>
      <c r="E630" s="39"/>
      <c r="F630" s="40"/>
      <c r="G630" s="38"/>
      <c r="H630" s="43"/>
      <c r="I630" s="43"/>
      <c r="J630" s="39"/>
      <c r="K630" s="38"/>
      <c r="L630" s="39"/>
      <c r="M630" s="39"/>
      <c r="N630" s="43"/>
      <c r="O630" s="38"/>
      <c r="P630" s="38"/>
      <c r="Q630" s="41" t="str">
        <f ca="1">IF(emp_db[[#This Row],[Exit Date]]&lt;&gt;"",(emp_db[[#This Row],[Exit Date]]-emp_db[[#This Row],[Column1]])/365,IF(emp_db[[#This Row],[ID]]&lt;&gt;"",(TODAY()-emp_db[[#This Row],[Column1]])/365,""))</f>
        <v/>
      </c>
      <c r="R630" s="42" t="str">
        <f ca="1">IF(emp_db[[#This Row],[Date of Birth]]&lt;&gt;"",(TODAY()-emp_db[[#This Row],[Date of Birth]])/365,"")</f>
        <v/>
      </c>
      <c r="S630" s="42">
        <f>YEAR(emp_db[[#This Row],[Column1]])</f>
        <v>1900</v>
      </c>
      <c r="T630" s="42">
        <f>MONTH(emp_db[[#This Row],[Column1]])</f>
        <v>1</v>
      </c>
      <c r="U630" s="42">
        <f>IFERROR(YEAR(emp_db[[#This Row],[Exit Date]]),"")</f>
        <v>1900</v>
      </c>
      <c r="V630" s="42">
        <f>IFERROR(MONTH(emp_db[[#This Row],[Exit Date]]),"")</f>
        <v>1</v>
      </c>
    </row>
    <row r="631" spans="2:22">
      <c r="B631" s="39"/>
      <c r="C631" s="39"/>
      <c r="D631" s="39"/>
      <c r="E631" s="39"/>
      <c r="F631" s="40"/>
      <c r="G631" s="38"/>
      <c r="H631" s="43"/>
      <c r="I631" s="43"/>
      <c r="J631" s="39"/>
      <c r="K631" s="38"/>
      <c r="L631" s="39"/>
      <c r="M631" s="39"/>
      <c r="N631" s="43"/>
      <c r="O631" s="38"/>
      <c r="P631" s="38"/>
      <c r="Q631" s="41" t="str">
        <f ca="1">IF(emp_db[[#This Row],[Exit Date]]&lt;&gt;"",(emp_db[[#This Row],[Exit Date]]-emp_db[[#This Row],[Column1]])/365,IF(emp_db[[#This Row],[ID]]&lt;&gt;"",(TODAY()-emp_db[[#This Row],[Column1]])/365,""))</f>
        <v/>
      </c>
      <c r="R631" s="42" t="str">
        <f ca="1">IF(emp_db[[#This Row],[Date of Birth]]&lt;&gt;"",(TODAY()-emp_db[[#This Row],[Date of Birth]])/365,"")</f>
        <v/>
      </c>
      <c r="S631" s="42">
        <f>YEAR(emp_db[[#This Row],[Column1]])</f>
        <v>1900</v>
      </c>
      <c r="T631" s="42">
        <f>MONTH(emp_db[[#This Row],[Column1]])</f>
        <v>1</v>
      </c>
      <c r="U631" s="42">
        <f>IFERROR(YEAR(emp_db[[#This Row],[Exit Date]]),"")</f>
        <v>1900</v>
      </c>
      <c r="V631" s="42">
        <f>IFERROR(MONTH(emp_db[[#This Row],[Exit Date]]),"")</f>
        <v>1</v>
      </c>
    </row>
    <row r="632" spans="2:22">
      <c r="B632" s="39"/>
      <c r="C632" s="39"/>
      <c r="D632" s="39"/>
      <c r="E632" s="39"/>
      <c r="F632" s="40"/>
      <c r="G632" s="38"/>
      <c r="H632" s="43"/>
      <c r="I632" s="43"/>
      <c r="J632" s="39"/>
      <c r="K632" s="38"/>
      <c r="L632" s="39"/>
      <c r="M632" s="39"/>
      <c r="N632" s="43"/>
      <c r="O632" s="38"/>
      <c r="P632" s="38"/>
      <c r="Q632" s="41" t="str">
        <f ca="1">IF(emp_db[[#This Row],[Exit Date]]&lt;&gt;"",(emp_db[[#This Row],[Exit Date]]-emp_db[[#This Row],[Column1]])/365,IF(emp_db[[#This Row],[ID]]&lt;&gt;"",(TODAY()-emp_db[[#This Row],[Column1]])/365,""))</f>
        <v/>
      </c>
      <c r="R632" s="42" t="str">
        <f ca="1">IF(emp_db[[#This Row],[Date of Birth]]&lt;&gt;"",(TODAY()-emp_db[[#This Row],[Date of Birth]])/365,"")</f>
        <v/>
      </c>
      <c r="S632" s="42">
        <f>YEAR(emp_db[[#This Row],[Column1]])</f>
        <v>1900</v>
      </c>
      <c r="T632" s="42">
        <f>MONTH(emp_db[[#This Row],[Column1]])</f>
        <v>1</v>
      </c>
      <c r="U632" s="42">
        <f>IFERROR(YEAR(emp_db[[#This Row],[Exit Date]]),"")</f>
        <v>1900</v>
      </c>
      <c r="V632" s="42">
        <f>IFERROR(MONTH(emp_db[[#This Row],[Exit Date]]),"")</f>
        <v>1</v>
      </c>
    </row>
    <row r="633" spans="2:22">
      <c r="B633" s="39"/>
      <c r="C633" s="39"/>
      <c r="D633" s="39"/>
      <c r="E633" s="39"/>
      <c r="F633" s="40"/>
      <c r="G633" s="38"/>
      <c r="H633" s="43"/>
      <c r="I633" s="43"/>
      <c r="J633" s="39"/>
      <c r="K633" s="38"/>
      <c r="L633" s="39"/>
      <c r="M633" s="39"/>
      <c r="N633" s="43"/>
      <c r="O633" s="38"/>
      <c r="P633" s="38"/>
      <c r="Q633" s="41" t="str">
        <f ca="1">IF(emp_db[[#This Row],[Exit Date]]&lt;&gt;"",(emp_db[[#This Row],[Exit Date]]-emp_db[[#This Row],[Column1]])/365,IF(emp_db[[#This Row],[ID]]&lt;&gt;"",(TODAY()-emp_db[[#This Row],[Column1]])/365,""))</f>
        <v/>
      </c>
      <c r="R633" s="42" t="str">
        <f ca="1">IF(emp_db[[#This Row],[Date of Birth]]&lt;&gt;"",(TODAY()-emp_db[[#This Row],[Date of Birth]])/365,"")</f>
        <v/>
      </c>
      <c r="S633" s="42">
        <f>YEAR(emp_db[[#This Row],[Column1]])</f>
        <v>1900</v>
      </c>
      <c r="T633" s="42">
        <f>MONTH(emp_db[[#This Row],[Column1]])</f>
        <v>1</v>
      </c>
      <c r="U633" s="42">
        <f>IFERROR(YEAR(emp_db[[#This Row],[Exit Date]]),"")</f>
        <v>1900</v>
      </c>
      <c r="V633" s="42">
        <f>IFERROR(MONTH(emp_db[[#This Row],[Exit Date]]),"")</f>
        <v>1</v>
      </c>
    </row>
    <row r="634" spans="2:22">
      <c r="B634" s="39"/>
      <c r="C634" s="39"/>
      <c r="D634" s="39"/>
      <c r="E634" s="39"/>
      <c r="F634" s="40"/>
      <c r="G634" s="38"/>
      <c r="H634" s="43"/>
      <c r="I634" s="43"/>
      <c r="J634" s="39"/>
      <c r="K634" s="38"/>
      <c r="L634" s="39"/>
      <c r="M634" s="39"/>
      <c r="N634" s="43"/>
      <c r="O634" s="38"/>
      <c r="P634" s="38"/>
      <c r="Q634" s="41" t="str">
        <f ca="1">IF(emp_db[[#This Row],[Exit Date]]&lt;&gt;"",(emp_db[[#This Row],[Exit Date]]-emp_db[[#This Row],[Column1]])/365,IF(emp_db[[#This Row],[ID]]&lt;&gt;"",(TODAY()-emp_db[[#This Row],[Column1]])/365,""))</f>
        <v/>
      </c>
      <c r="R634" s="42" t="str">
        <f ca="1">IF(emp_db[[#This Row],[Date of Birth]]&lt;&gt;"",(TODAY()-emp_db[[#This Row],[Date of Birth]])/365,"")</f>
        <v/>
      </c>
      <c r="S634" s="42">
        <f>YEAR(emp_db[[#This Row],[Column1]])</f>
        <v>1900</v>
      </c>
      <c r="T634" s="42">
        <f>MONTH(emp_db[[#This Row],[Column1]])</f>
        <v>1</v>
      </c>
      <c r="U634" s="42">
        <f>IFERROR(YEAR(emp_db[[#This Row],[Exit Date]]),"")</f>
        <v>1900</v>
      </c>
      <c r="V634" s="42">
        <f>IFERROR(MONTH(emp_db[[#This Row],[Exit Date]]),"")</f>
        <v>1</v>
      </c>
    </row>
    <row r="635" spans="2:22">
      <c r="B635" s="39"/>
      <c r="C635" s="39"/>
      <c r="D635" s="39"/>
      <c r="E635" s="39"/>
      <c r="F635" s="40"/>
      <c r="G635" s="38"/>
      <c r="H635" s="43"/>
      <c r="I635" s="43"/>
      <c r="J635" s="39"/>
      <c r="K635" s="38"/>
      <c r="L635" s="39"/>
      <c r="M635" s="39"/>
      <c r="N635" s="43"/>
      <c r="O635" s="38"/>
      <c r="P635" s="38"/>
      <c r="Q635" s="41" t="str">
        <f ca="1">IF(emp_db[[#This Row],[Exit Date]]&lt;&gt;"",(emp_db[[#This Row],[Exit Date]]-emp_db[[#This Row],[Column1]])/365,IF(emp_db[[#This Row],[ID]]&lt;&gt;"",(TODAY()-emp_db[[#This Row],[Column1]])/365,""))</f>
        <v/>
      </c>
      <c r="R635" s="42" t="str">
        <f ca="1">IF(emp_db[[#This Row],[Date of Birth]]&lt;&gt;"",(TODAY()-emp_db[[#This Row],[Date of Birth]])/365,"")</f>
        <v/>
      </c>
      <c r="S635" s="42">
        <f>YEAR(emp_db[[#This Row],[Column1]])</f>
        <v>1900</v>
      </c>
      <c r="T635" s="42">
        <f>MONTH(emp_db[[#This Row],[Column1]])</f>
        <v>1</v>
      </c>
      <c r="U635" s="42">
        <f>IFERROR(YEAR(emp_db[[#This Row],[Exit Date]]),"")</f>
        <v>1900</v>
      </c>
      <c r="V635" s="42">
        <f>IFERROR(MONTH(emp_db[[#This Row],[Exit Date]]),"")</f>
        <v>1</v>
      </c>
    </row>
    <row r="636" spans="2:22">
      <c r="B636" s="39"/>
      <c r="C636" s="39"/>
      <c r="D636" s="39"/>
      <c r="E636" s="39"/>
      <c r="F636" s="40"/>
      <c r="G636" s="38"/>
      <c r="H636" s="43"/>
      <c r="I636" s="43"/>
      <c r="J636" s="39"/>
      <c r="K636" s="38"/>
      <c r="L636" s="39"/>
      <c r="M636" s="39"/>
      <c r="N636" s="43"/>
      <c r="O636" s="38"/>
      <c r="P636" s="38"/>
      <c r="Q636" s="41" t="str">
        <f ca="1">IF(emp_db[[#This Row],[Exit Date]]&lt;&gt;"",(emp_db[[#This Row],[Exit Date]]-emp_db[[#This Row],[Column1]])/365,IF(emp_db[[#This Row],[ID]]&lt;&gt;"",(TODAY()-emp_db[[#This Row],[Column1]])/365,""))</f>
        <v/>
      </c>
      <c r="R636" s="42" t="str">
        <f ca="1">IF(emp_db[[#This Row],[Date of Birth]]&lt;&gt;"",(TODAY()-emp_db[[#This Row],[Date of Birth]])/365,"")</f>
        <v/>
      </c>
      <c r="S636" s="42">
        <f>YEAR(emp_db[[#This Row],[Column1]])</f>
        <v>1900</v>
      </c>
      <c r="T636" s="42">
        <f>MONTH(emp_db[[#This Row],[Column1]])</f>
        <v>1</v>
      </c>
      <c r="U636" s="42">
        <f>IFERROR(YEAR(emp_db[[#This Row],[Exit Date]]),"")</f>
        <v>1900</v>
      </c>
      <c r="V636" s="42">
        <f>IFERROR(MONTH(emp_db[[#This Row],[Exit Date]]),"")</f>
        <v>1</v>
      </c>
    </row>
    <row r="637" spans="2:22">
      <c r="B637" s="39"/>
      <c r="C637" s="39"/>
      <c r="D637" s="39"/>
      <c r="E637" s="39"/>
      <c r="F637" s="40"/>
      <c r="G637" s="38"/>
      <c r="H637" s="43"/>
      <c r="I637" s="43"/>
      <c r="J637" s="39"/>
      <c r="K637" s="38"/>
      <c r="L637" s="39"/>
      <c r="M637" s="39"/>
      <c r="N637" s="43"/>
      <c r="O637" s="38"/>
      <c r="P637" s="38"/>
      <c r="Q637" s="41" t="str">
        <f ca="1">IF(emp_db[[#This Row],[Exit Date]]&lt;&gt;"",(emp_db[[#This Row],[Exit Date]]-emp_db[[#This Row],[Column1]])/365,IF(emp_db[[#This Row],[ID]]&lt;&gt;"",(TODAY()-emp_db[[#This Row],[Column1]])/365,""))</f>
        <v/>
      </c>
      <c r="R637" s="42" t="str">
        <f ca="1">IF(emp_db[[#This Row],[Date of Birth]]&lt;&gt;"",(TODAY()-emp_db[[#This Row],[Date of Birth]])/365,"")</f>
        <v/>
      </c>
      <c r="S637" s="42">
        <f>YEAR(emp_db[[#This Row],[Column1]])</f>
        <v>1900</v>
      </c>
      <c r="T637" s="42">
        <f>MONTH(emp_db[[#This Row],[Column1]])</f>
        <v>1</v>
      </c>
      <c r="U637" s="42">
        <f>IFERROR(YEAR(emp_db[[#This Row],[Exit Date]]),"")</f>
        <v>1900</v>
      </c>
      <c r="V637" s="42">
        <f>IFERROR(MONTH(emp_db[[#This Row],[Exit Date]]),"")</f>
        <v>1</v>
      </c>
    </row>
    <row r="638" spans="2:22">
      <c r="B638" s="39"/>
      <c r="C638" s="39"/>
      <c r="D638" s="39"/>
      <c r="E638" s="39"/>
      <c r="F638" s="40"/>
      <c r="G638" s="38"/>
      <c r="H638" s="43"/>
      <c r="I638" s="43"/>
      <c r="J638" s="39"/>
      <c r="K638" s="38"/>
      <c r="L638" s="39"/>
      <c r="M638" s="39"/>
      <c r="N638" s="43"/>
      <c r="O638" s="38"/>
      <c r="P638" s="38"/>
      <c r="Q638" s="41" t="str">
        <f ca="1">IF(emp_db[[#This Row],[Exit Date]]&lt;&gt;"",(emp_db[[#This Row],[Exit Date]]-emp_db[[#This Row],[Column1]])/365,IF(emp_db[[#This Row],[ID]]&lt;&gt;"",(TODAY()-emp_db[[#This Row],[Column1]])/365,""))</f>
        <v/>
      </c>
      <c r="R638" s="42" t="str">
        <f ca="1">IF(emp_db[[#This Row],[Date of Birth]]&lt;&gt;"",(TODAY()-emp_db[[#This Row],[Date of Birth]])/365,"")</f>
        <v/>
      </c>
      <c r="S638" s="42">
        <f>YEAR(emp_db[[#This Row],[Column1]])</f>
        <v>1900</v>
      </c>
      <c r="T638" s="42">
        <f>MONTH(emp_db[[#This Row],[Column1]])</f>
        <v>1</v>
      </c>
      <c r="U638" s="42">
        <f>IFERROR(YEAR(emp_db[[#This Row],[Exit Date]]),"")</f>
        <v>1900</v>
      </c>
      <c r="V638" s="42">
        <f>IFERROR(MONTH(emp_db[[#This Row],[Exit Date]]),"")</f>
        <v>1</v>
      </c>
    </row>
    <row r="639" spans="2:22">
      <c r="B639" s="39"/>
      <c r="C639" s="39"/>
      <c r="D639" s="39"/>
      <c r="E639" s="39"/>
      <c r="F639" s="40"/>
      <c r="G639" s="38"/>
      <c r="H639" s="43"/>
      <c r="I639" s="43"/>
      <c r="J639" s="39"/>
      <c r="K639" s="38"/>
      <c r="L639" s="39"/>
      <c r="M639" s="39"/>
      <c r="N639" s="43"/>
      <c r="O639" s="38"/>
      <c r="P639" s="38"/>
      <c r="Q639" s="41" t="str">
        <f ca="1">IF(emp_db[[#This Row],[Exit Date]]&lt;&gt;"",(emp_db[[#This Row],[Exit Date]]-emp_db[[#This Row],[Column1]])/365,IF(emp_db[[#This Row],[ID]]&lt;&gt;"",(TODAY()-emp_db[[#This Row],[Column1]])/365,""))</f>
        <v/>
      </c>
      <c r="R639" s="42" t="str">
        <f ca="1">IF(emp_db[[#This Row],[Date of Birth]]&lt;&gt;"",(TODAY()-emp_db[[#This Row],[Date of Birth]])/365,"")</f>
        <v/>
      </c>
      <c r="S639" s="42">
        <f>YEAR(emp_db[[#This Row],[Column1]])</f>
        <v>1900</v>
      </c>
      <c r="T639" s="42">
        <f>MONTH(emp_db[[#This Row],[Column1]])</f>
        <v>1</v>
      </c>
      <c r="U639" s="42">
        <f>IFERROR(YEAR(emp_db[[#This Row],[Exit Date]]),"")</f>
        <v>1900</v>
      </c>
      <c r="V639" s="42">
        <f>IFERROR(MONTH(emp_db[[#This Row],[Exit Date]]),"")</f>
        <v>1</v>
      </c>
    </row>
    <row r="640" spans="2:22">
      <c r="B640" s="39"/>
      <c r="C640" s="39"/>
      <c r="D640" s="39"/>
      <c r="E640" s="39"/>
      <c r="F640" s="40"/>
      <c r="G640" s="38"/>
      <c r="H640" s="43"/>
      <c r="I640" s="43"/>
      <c r="J640" s="39"/>
      <c r="K640" s="38"/>
      <c r="L640" s="39"/>
      <c r="M640" s="39"/>
      <c r="N640" s="43"/>
      <c r="O640" s="38"/>
      <c r="P640" s="38"/>
      <c r="Q640" s="41" t="str">
        <f ca="1">IF(emp_db[[#This Row],[Exit Date]]&lt;&gt;"",(emp_db[[#This Row],[Exit Date]]-emp_db[[#This Row],[Column1]])/365,IF(emp_db[[#This Row],[ID]]&lt;&gt;"",(TODAY()-emp_db[[#This Row],[Column1]])/365,""))</f>
        <v/>
      </c>
      <c r="R640" s="42" t="str">
        <f ca="1">IF(emp_db[[#This Row],[Date of Birth]]&lt;&gt;"",(TODAY()-emp_db[[#This Row],[Date of Birth]])/365,"")</f>
        <v/>
      </c>
      <c r="S640" s="42">
        <f>YEAR(emp_db[[#This Row],[Column1]])</f>
        <v>1900</v>
      </c>
      <c r="T640" s="42">
        <f>MONTH(emp_db[[#This Row],[Column1]])</f>
        <v>1</v>
      </c>
      <c r="U640" s="42">
        <f>IFERROR(YEAR(emp_db[[#This Row],[Exit Date]]),"")</f>
        <v>1900</v>
      </c>
      <c r="V640" s="42">
        <f>IFERROR(MONTH(emp_db[[#This Row],[Exit Date]]),"")</f>
        <v>1</v>
      </c>
    </row>
    <row r="641" spans="2:22">
      <c r="B641" s="39"/>
      <c r="C641" s="39"/>
      <c r="D641" s="39"/>
      <c r="E641" s="39"/>
      <c r="F641" s="40"/>
      <c r="G641" s="38"/>
      <c r="H641" s="43"/>
      <c r="I641" s="43"/>
      <c r="J641" s="39"/>
      <c r="K641" s="38"/>
      <c r="L641" s="39"/>
      <c r="M641" s="39"/>
      <c r="N641" s="43"/>
      <c r="O641" s="38"/>
      <c r="P641" s="38"/>
      <c r="Q641" s="41" t="str">
        <f ca="1">IF(emp_db[[#This Row],[Exit Date]]&lt;&gt;"",(emp_db[[#This Row],[Exit Date]]-emp_db[[#This Row],[Column1]])/365,IF(emp_db[[#This Row],[ID]]&lt;&gt;"",(TODAY()-emp_db[[#This Row],[Column1]])/365,""))</f>
        <v/>
      </c>
      <c r="R641" s="42" t="str">
        <f ca="1">IF(emp_db[[#This Row],[Date of Birth]]&lt;&gt;"",(TODAY()-emp_db[[#This Row],[Date of Birth]])/365,"")</f>
        <v/>
      </c>
      <c r="S641" s="42">
        <f>YEAR(emp_db[[#This Row],[Column1]])</f>
        <v>1900</v>
      </c>
      <c r="T641" s="42">
        <f>MONTH(emp_db[[#This Row],[Column1]])</f>
        <v>1</v>
      </c>
      <c r="U641" s="42">
        <f>IFERROR(YEAR(emp_db[[#This Row],[Exit Date]]),"")</f>
        <v>1900</v>
      </c>
      <c r="V641" s="42">
        <f>IFERROR(MONTH(emp_db[[#This Row],[Exit Date]]),"")</f>
        <v>1</v>
      </c>
    </row>
    <row r="642" spans="2:22">
      <c r="B642" s="39"/>
      <c r="C642" s="39"/>
      <c r="D642" s="39"/>
      <c r="E642" s="39"/>
      <c r="F642" s="40"/>
      <c r="G642" s="38"/>
      <c r="H642" s="43"/>
      <c r="I642" s="43"/>
      <c r="J642" s="39"/>
      <c r="K642" s="38"/>
      <c r="L642" s="39"/>
      <c r="M642" s="39"/>
      <c r="N642" s="43"/>
      <c r="O642" s="38"/>
      <c r="P642" s="38"/>
      <c r="Q642" s="41" t="str">
        <f ca="1">IF(emp_db[[#This Row],[Exit Date]]&lt;&gt;"",(emp_db[[#This Row],[Exit Date]]-emp_db[[#This Row],[Column1]])/365,IF(emp_db[[#This Row],[ID]]&lt;&gt;"",(TODAY()-emp_db[[#This Row],[Column1]])/365,""))</f>
        <v/>
      </c>
      <c r="R642" s="42" t="str">
        <f ca="1">IF(emp_db[[#This Row],[Date of Birth]]&lt;&gt;"",(TODAY()-emp_db[[#This Row],[Date of Birth]])/365,"")</f>
        <v/>
      </c>
      <c r="S642" s="42">
        <f>YEAR(emp_db[[#This Row],[Column1]])</f>
        <v>1900</v>
      </c>
      <c r="T642" s="42">
        <f>MONTH(emp_db[[#This Row],[Column1]])</f>
        <v>1</v>
      </c>
      <c r="U642" s="42">
        <f>IFERROR(YEAR(emp_db[[#This Row],[Exit Date]]),"")</f>
        <v>1900</v>
      </c>
      <c r="V642" s="42">
        <f>IFERROR(MONTH(emp_db[[#This Row],[Exit Date]]),"")</f>
        <v>1</v>
      </c>
    </row>
    <row r="643" spans="2:22">
      <c r="B643" s="39"/>
      <c r="C643" s="39"/>
      <c r="D643" s="39"/>
      <c r="E643" s="39"/>
      <c r="F643" s="40"/>
      <c r="G643" s="38"/>
      <c r="H643" s="43"/>
      <c r="I643" s="43"/>
      <c r="J643" s="39"/>
      <c r="K643" s="38"/>
      <c r="L643" s="39"/>
      <c r="M643" s="39"/>
      <c r="N643" s="43"/>
      <c r="O643" s="38"/>
      <c r="P643" s="38"/>
      <c r="Q643" s="41" t="str">
        <f ca="1">IF(emp_db[[#This Row],[Exit Date]]&lt;&gt;"",(emp_db[[#This Row],[Exit Date]]-emp_db[[#This Row],[Column1]])/365,IF(emp_db[[#This Row],[ID]]&lt;&gt;"",(TODAY()-emp_db[[#This Row],[Column1]])/365,""))</f>
        <v/>
      </c>
      <c r="R643" s="42" t="str">
        <f ca="1">IF(emp_db[[#This Row],[Date of Birth]]&lt;&gt;"",(TODAY()-emp_db[[#This Row],[Date of Birth]])/365,"")</f>
        <v/>
      </c>
      <c r="S643" s="42">
        <f>YEAR(emp_db[[#This Row],[Column1]])</f>
        <v>1900</v>
      </c>
      <c r="T643" s="42">
        <f>MONTH(emp_db[[#This Row],[Column1]])</f>
        <v>1</v>
      </c>
      <c r="U643" s="42">
        <f>IFERROR(YEAR(emp_db[[#This Row],[Exit Date]]),"")</f>
        <v>1900</v>
      </c>
      <c r="V643" s="42">
        <f>IFERROR(MONTH(emp_db[[#This Row],[Exit Date]]),"")</f>
        <v>1</v>
      </c>
    </row>
    <row r="644" spans="2:22">
      <c r="B644" s="39"/>
      <c r="C644" s="39"/>
      <c r="D644" s="39"/>
      <c r="E644" s="39"/>
      <c r="F644" s="40"/>
      <c r="G644" s="38"/>
      <c r="H644" s="43"/>
      <c r="I644" s="43"/>
      <c r="J644" s="39"/>
      <c r="K644" s="38"/>
      <c r="L644" s="39"/>
      <c r="M644" s="39"/>
      <c r="N644" s="43"/>
      <c r="O644" s="38"/>
      <c r="P644" s="38"/>
      <c r="Q644" s="41" t="str">
        <f ca="1">IF(emp_db[[#This Row],[Exit Date]]&lt;&gt;"",(emp_db[[#This Row],[Exit Date]]-emp_db[[#This Row],[Column1]])/365,IF(emp_db[[#This Row],[ID]]&lt;&gt;"",(TODAY()-emp_db[[#This Row],[Column1]])/365,""))</f>
        <v/>
      </c>
      <c r="R644" s="42" t="str">
        <f ca="1">IF(emp_db[[#This Row],[Date of Birth]]&lt;&gt;"",(TODAY()-emp_db[[#This Row],[Date of Birth]])/365,"")</f>
        <v/>
      </c>
      <c r="S644" s="42">
        <f>YEAR(emp_db[[#This Row],[Column1]])</f>
        <v>1900</v>
      </c>
      <c r="T644" s="42">
        <f>MONTH(emp_db[[#This Row],[Column1]])</f>
        <v>1</v>
      </c>
      <c r="U644" s="42">
        <f>IFERROR(YEAR(emp_db[[#This Row],[Exit Date]]),"")</f>
        <v>1900</v>
      </c>
      <c r="V644" s="42">
        <f>IFERROR(MONTH(emp_db[[#This Row],[Exit Date]]),"")</f>
        <v>1</v>
      </c>
    </row>
    <row r="645" spans="2:22">
      <c r="B645" s="39"/>
      <c r="C645" s="39"/>
      <c r="D645" s="39"/>
      <c r="E645" s="39"/>
      <c r="F645" s="40"/>
      <c r="G645" s="38"/>
      <c r="H645" s="43"/>
      <c r="I645" s="43"/>
      <c r="J645" s="39"/>
      <c r="K645" s="38"/>
      <c r="L645" s="39"/>
      <c r="M645" s="39"/>
      <c r="N645" s="43"/>
      <c r="O645" s="38"/>
      <c r="P645" s="38"/>
      <c r="Q645" s="41" t="str">
        <f ca="1">IF(emp_db[[#This Row],[Exit Date]]&lt;&gt;"",(emp_db[[#This Row],[Exit Date]]-emp_db[[#This Row],[Column1]])/365,IF(emp_db[[#This Row],[ID]]&lt;&gt;"",(TODAY()-emp_db[[#This Row],[Column1]])/365,""))</f>
        <v/>
      </c>
      <c r="R645" s="42" t="str">
        <f ca="1">IF(emp_db[[#This Row],[Date of Birth]]&lt;&gt;"",(TODAY()-emp_db[[#This Row],[Date of Birth]])/365,"")</f>
        <v/>
      </c>
      <c r="S645" s="42">
        <f>YEAR(emp_db[[#This Row],[Column1]])</f>
        <v>1900</v>
      </c>
      <c r="T645" s="42">
        <f>MONTH(emp_db[[#This Row],[Column1]])</f>
        <v>1</v>
      </c>
      <c r="U645" s="42">
        <f>IFERROR(YEAR(emp_db[[#This Row],[Exit Date]]),"")</f>
        <v>1900</v>
      </c>
      <c r="V645" s="42">
        <f>IFERROR(MONTH(emp_db[[#This Row],[Exit Date]]),"")</f>
        <v>1</v>
      </c>
    </row>
    <row r="646" spans="2:22">
      <c r="B646" s="39"/>
      <c r="C646" s="39"/>
      <c r="D646" s="39"/>
      <c r="E646" s="39"/>
      <c r="F646" s="40"/>
      <c r="G646" s="38"/>
      <c r="H646" s="43"/>
      <c r="I646" s="43"/>
      <c r="J646" s="39"/>
      <c r="K646" s="38"/>
      <c r="L646" s="39"/>
      <c r="M646" s="39"/>
      <c r="N646" s="43"/>
      <c r="O646" s="38"/>
      <c r="P646" s="38"/>
      <c r="Q646" s="41" t="str">
        <f ca="1">IF(emp_db[[#This Row],[Exit Date]]&lt;&gt;"",(emp_db[[#This Row],[Exit Date]]-emp_db[[#This Row],[Column1]])/365,IF(emp_db[[#This Row],[ID]]&lt;&gt;"",(TODAY()-emp_db[[#This Row],[Column1]])/365,""))</f>
        <v/>
      </c>
      <c r="R646" s="42" t="str">
        <f ca="1">IF(emp_db[[#This Row],[Date of Birth]]&lt;&gt;"",(TODAY()-emp_db[[#This Row],[Date of Birth]])/365,"")</f>
        <v/>
      </c>
      <c r="S646" s="42">
        <f>YEAR(emp_db[[#This Row],[Column1]])</f>
        <v>1900</v>
      </c>
      <c r="T646" s="42">
        <f>MONTH(emp_db[[#This Row],[Column1]])</f>
        <v>1</v>
      </c>
      <c r="U646" s="42">
        <f>IFERROR(YEAR(emp_db[[#This Row],[Exit Date]]),"")</f>
        <v>1900</v>
      </c>
      <c r="V646" s="42">
        <f>IFERROR(MONTH(emp_db[[#This Row],[Exit Date]]),"")</f>
        <v>1</v>
      </c>
    </row>
    <row r="647" spans="2:22">
      <c r="B647" s="39"/>
      <c r="C647" s="39"/>
      <c r="D647" s="39"/>
      <c r="E647" s="39"/>
      <c r="F647" s="40"/>
      <c r="G647" s="38"/>
      <c r="H647" s="43"/>
      <c r="I647" s="43"/>
      <c r="J647" s="39"/>
      <c r="K647" s="38"/>
      <c r="L647" s="39"/>
      <c r="M647" s="39"/>
      <c r="N647" s="43"/>
      <c r="O647" s="38"/>
      <c r="P647" s="38"/>
      <c r="Q647" s="41" t="str">
        <f ca="1">IF(emp_db[[#This Row],[Exit Date]]&lt;&gt;"",(emp_db[[#This Row],[Exit Date]]-emp_db[[#This Row],[Column1]])/365,IF(emp_db[[#This Row],[ID]]&lt;&gt;"",(TODAY()-emp_db[[#This Row],[Column1]])/365,""))</f>
        <v/>
      </c>
      <c r="R647" s="42" t="str">
        <f ca="1">IF(emp_db[[#This Row],[Date of Birth]]&lt;&gt;"",(TODAY()-emp_db[[#This Row],[Date of Birth]])/365,"")</f>
        <v/>
      </c>
      <c r="S647" s="42">
        <f>YEAR(emp_db[[#This Row],[Column1]])</f>
        <v>1900</v>
      </c>
      <c r="T647" s="42">
        <f>MONTH(emp_db[[#This Row],[Column1]])</f>
        <v>1</v>
      </c>
      <c r="U647" s="42">
        <f>IFERROR(YEAR(emp_db[[#This Row],[Exit Date]]),"")</f>
        <v>1900</v>
      </c>
      <c r="V647" s="42">
        <f>IFERROR(MONTH(emp_db[[#This Row],[Exit Date]]),"")</f>
        <v>1</v>
      </c>
    </row>
    <row r="648" spans="2:22">
      <c r="B648" s="39"/>
      <c r="C648" s="39"/>
      <c r="D648" s="39"/>
      <c r="E648" s="39"/>
      <c r="F648" s="40"/>
      <c r="G648" s="38"/>
      <c r="H648" s="43"/>
      <c r="I648" s="43"/>
      <c r="J648" s="39"/>
      <c r="K648" s="38"/>
      <c r="L648" s="39"/>
      <c r="M648" s="39"/>
      <c r="N648" s="43"/>
      <c r="O648" s="38"/>
      <c r="P648" s="38"/>
      <c r="Q648" s="41" t="str">
        <f ca="1">IF(emp_db[[#This Row],[Exit Date]]&lt;&gt;"",(emp_db[[#This Row],[Exit Date]]-emp_db[[#This Row],[Column1]])/365,IF(emp_db[[#This Row],[ID]]&lt;&gt;"",(TODAY()-emp_db[[#This Row],[Column1]])/365,""))</f>
        <v/>
      </c>
      <c r="R648" s="42" t="str">
        <f ca="1">IF(emp_db[[#This Row],[Date of Birth]]&lt;&gt;"",(TODAY()-emp_db[[#This Row],[Date of Birth]])/365,"")</f>
        <v/>
      </c>
      <c r="S648" s="42">
        <f>YEAR(emp_db[[#This Row],[Column1]])</f>
        <v>1900</v>
      </c>
      <c r="T648" s="42">
        <f>MONTH(emp_db[[#This Row],[Column1]])</f>
        <v>1</v>
      </c>
      <c r="U648" s="42">
        <f>IFERROR(YEAR(emp_db[[#This Row],[Exit Date]]),"")</f>
        <v>1900</v>
      </c>
      <c r="V648" s="42">
        <f>IFERROR(MONTH(emp_db[[#This Row],[Exit Date]]),"")</f>
        <v>1</v>
      </c>
    </row>
    <row r="649" spans="2:22">
      <c r="B649" s="39"/>
      <c r="C649" s="39"/>
      <c r="D649" s="39"/>
      <c r="E649" s="39"/>
      <c r="F649" s="40"/>
      <c r="G649" s="38"/>
      <c r="H649" s="43"/>
      <c r="I649" s="43"/>
      <c r="J649" s="39"/>
      <c r="K649" s="38"/>
      <c r="L649" s="39"/>
      <c r="M649" s="39"/>
      <c r="N649" s="43"/>
      <c r="O649" s="38"/>
      <c r="P649" s="38"/>
      <c r="Q649" s="41" t="str">
        <f ca="1">IF(emp_db[[#This Row],[Exit Date]]&lt;&gt;"",(emp_db[[#This Row],[Exit Date]]-emp_db[[#This Row],[Column1]])/365,IF(emp_db[[#This Row],[ID]]&lt;&gt;"",(TODAY()-emp_db[[#This Row],[Column1]])/365,""))</f>
        <v/>
      </c>
      <c r="R649" s="42" t="str">
        <f ca="1">IF(emp_db[[#This Row],[Date of Birth]]&lt;&gt;"",(TODAY()-emp_db[[#This Row],[Date of Birth]])/365,"")</f>
        <v/>
      </c>
      <c r="S649" s="42">
        <f>YEAR(emp_db[[#This Row],[Column1]])</f>
        <v>1900</v>
      </c>
      <c r="T649" s="42">
        <f>MONTH(emp_db[[#This Row],[Column1]])</f>
        <v>1</v>
      </c>
      <c r="U649" s="42">
        <f>IFERROR(YEAR(emp_db[[#This Row],[Exit Date]]),"")</f>
        <v>1900</v>
      </c>
      <c r="V649" s="42">
        <f>IFERROR(MONTH(emp_db[[#This Row],[Exit Date]]),"")</f>
        <v>1</v>
      </c>
    </row>
    <row r="650" spans="2:22">
      <c r="B650" s="39"/>
      <c r="C650" s="39"/>
      <c r="D650" s="39"/>
      <c r="E650" s="39"/>
      <c r="F650" s="40"/>
      <c r="G650" s="38"/>
      <c r="H650" s="43"/>
      <c r="I650" s="43"/>
      <c r="J650" s="39"/>
      <c r="K650" s="38"/>
      <c r="L650" s="39"/>
      <c r="M650" s="39"/>
      <c r="N650" s="43"/>
      <c r="O650" s="38"/>
      <c r="P650" s="38"/>
      <c r="Q650" s="41" t="str">
        <f ca="1">IF(emp_db[[#This Row],[Exit Date]]&lt;&gt;"",(emp_db[[#This Row],[Exit Date]]-emp_db[[#This Row],[Column1]])/365,IF(emp_db[[#This Row],[ID]]&lt;&gt;"",(TODAY()-emp_db[[#This Row],[Column1]])/365,""))</f>
        <v/>
      </c>
      <c r="R650" s="42" t="str">
        <f ca="1">IF(emp_db[[#This Row],[Date of Birth]]&lt;&gt;"",(TODAY()-emp_db[[#This Row],[Date of Birth]])/365,"")</f>
        <v/>
      </c>
      <c r="S650" s="42">
        <f>YEAR(emp_db[[#This Row],[Column1]])</f>
        <v>1900</v>
      </c>
      <c r="T650" s="42">
        <f>MONTH(emp_db[[#This Row],[Column1]])</f>
        <v>1</v>
      </c>
      <c r="U650" s="42">
        <f>IFERROR(YEAR(emp_db[[#This Row],[Exit Date]]),"")</f>
        <v>1900</v>
      </c>
      <c r="V650" s="42">
        <f>IFERROR(MONTH(emp_db[[#This Row],[Exit Date]]),"")</f>
        <v>1</v>
      </c>
    </row>
    <row r="651" spans="2:22">
      <c r="B651" s="39"/>
      <c r="C651" s="39"/>
      <c r="D651" s="39"/>
      <c r="E651" s="39"/>
      <c r="F651" s="40"/>
      <c r="G651" s="38"/>
      <c r="H651" s="43"/>
      <c r="I651" s="43"/>
      <c r="J651" s="39"/>
      <c r="K651" s="38"/>
      <c r="L651" s="39"/>
      <c r="M651" s="39"/>
      <c r="N651" s="43"/>
      <c r="O651" s="38"/>
      <c r="P651" s="38"/>
      <c r="Q651" s="41" t="str">
        <f ca="1">IF(emp_db[[#This Row],[Exit Date]]&lt;&gt;"",(emp_db[[#This Row],[Exit Date]]-emp_db[[#This Row],[Column1]])/365,IF(emp_db[[#This Row],[ID]]&lt;&gt;"",(TODAY()-emp_db[[#This Row],[Column1]])/365,""))</f>
        <v/>
      </c>
      <c r="R651" s="42" t="str">
        <f ca="1">IF(emp_db[[#This Row],[Date of Birth]]&lt;&gt;"",(TODAY()-emp_db[[#This Row],[Date of Birth]])/365,"")</f>
        <v/>
      </c>
      <c r="S651" s="42">
        <f>YEAR(emp_db[[#This Row],[Column1]])</f>
        <v>1900</v>
      </c>
      <c r="T651" s="42">
        <f>MONTH(emp_db[[#This Row],[Column1]])</f>
        <v>1</v>
      </c>
      <c r="U651" s="42">
        <f>IFERROR(YEAR(emp_db[[#This Row],[Exit Date]]),"")</f>
        <v>1900</v>
      </c>
      <c r="V651" s="42">
        <f>IFERROR(MONTH(emp_db[[#This Row],[Exit Date]]),"")</f>
        <v>1</v>
      </c>
    </row>
    <row r="652" spans="2:22">
      <c r="B652" s="39"/>
      <c r="C652" s="39"/>
      <c r="D652" s="39"/>
      <c r="E652" s="39"/>
      <c r="F652" s="40"/>
      <c r="G652" s="38"/>
      <c r="H652" s="43"/>
      <c r="I652" s="43"/>
      <c r="J652" s="39"/>
      <c r="K652" s="38"/>
      <c r="L652" s="39"/>
      <c r="M652" s="39"/>
      <c r="N652" s="43"/>
      <c r="O652" s="38"/>
      <c r="P652" s="38"/>
      <c r="Q652" s="41" t="str">
        <f ca="1">IF(emp_db[[#This Row],[Exit Date]]&lt;&gt;"",(emp_db[[#This Row],[Exit Date]]-emp_db[[#This Row],[Column1]])/365,IF(emp_db[[#This Row],[ID]]&lt;&gt;"",(TODAY()-emp_db[[#This Row],[Column1]])/365,""))</f>
        <v/>
      </c>
      <c r="R652" s="42" t="str">
        <f ca="1">IF(emp_db[[#This Row],[Date of Birth]]&lt;&gt;"",(TODAY()-emp_db[[#This Row],[Date of Birth]])/365,"")</f>
        <v/>
      </c>
      <c r="S652" s="42">
        <f>YEAR(emp_db[[#This Row],[Column1]])</f>
        <v>1900</v>
      </c>
      <c r="T652" s="42">
        <f>MONTH(emp_db[[#This Row],[Column1]])</f>
        <v>1</v>
      </c>
      <c r="U652" s="42">
        <f>IFERROR(YEAR(emp_db[[#This Row],[Exit Date]]),"")</f>
        <v>1900</v>
      </c>
      <c r="V652" s="42">
        <f>IFERROR(MONTH(emp_db[[#This Row],[Exit Date]]),"")</f>
        <v>1</v>
      </c>
    </row>
    <row r="653" spans="2:22">
      <c r="B653" s="39"/>
      <c r="C653" s="39"/>
      <c r="D653" s="39"/>
      <c r="E653" s="39"/>
      <c r="F653" s="40"/>
      <c r="G653" s="38"/>
      <c r="H653" s="43"/>
      <c r="I653" s="43"/>
      <c r="J653" s="39"/>
      <c r="K653" s="38"/>
      <c r="L653" s="39"/>
      <c r="M653" s="39"/>
      <c r="N653" s="43"/>
      <c r="O653" s="38"/>
      <c r="P653" s="38"/>
      <c r="Q653" s="41" t="str">
        <f ca="1">IF(emp_db[[#This Row],[Exit Date]]&lt;&gt;"",(emp_db[[#This Row],[Exit Date]]-emp_db[[#This Row],[Column1]])/365,IF(emp_db[[#This Row],[ID]]&lt;&gt;"",(TODAY()-emp_db[[#This Row],[Column1]])/365,""))</f>
        <v/>
      </c>
      <c r="R653" s="42" t="str">
        <f ca="1">IF(emp_db[[#This Row],[Date of Birth]]&lt;&gt;"",(TODAY()-emp_db[[#This Row],[Date of Birth]])/365,"")</f>
        <v/>
      </c>
      <c r="S653" s="42">
        <f>YEAR(emp_db[[#This Row],[Column1]])</f>
        <v>1900</v>
      </c>
      <c r="T653" s="42">
        <f>MONTH(emp_db[[#This Row],[Column1]])</f>
        <v>1</v>
      </c>
      <c r="U653" s="42">
        <f>IFERROR(YEAR(emp_db[[#This Row],[Exit Date]]),"")</f>
        <v>1900</v>
      </c>
      <c r="V653" s="42">
        <f>IFERROR(MONTH(emp_db[[#This Row],[Exit Date]]),"")</f>
        <v>1</v>
      </c>
    </row>
    <row r="654" spans="2:22">
      <c r="B654" s="39"/>
      <c r="C654" s="39"/>
      <c r="D654" s="39"/>
      <c r="E654" s="39"/>
      <c r="F654" s="40"/>
      <c r="G654" s="38"/>
      <c r="H654" s="43"/>
      <c r="I654" s="43"/>
      <c r="J654" s="39"/>
      <c r="K654" s="38"/>
      <c r="L654" s="39"/>
      <c r="M654" s="39"/>
      <c r="N654" s="43"/>
      <c r="O654" s="38"/>
      <c r="P654" s="38"/>
      <c r="Q654" s="41" t="str">
        <f ca="1">IF(emp_db[[#This Row],[Exit Date]]&lt;&gt;"",(emp_db[[#This Row],[Exit Date]]-emp_db[[#This Row],[Column1]])/365,IF(emp_db[[#This Row],[ID]]&lt;&gt;"",(TODAY()-emp_db[[#This Row],[Column1]])/365,""))</f>
        <v/>
      </c>
      <c r="R654" s="42" t="str">
        <f ca="1">IF(emp_db[[#This Row],[Date of Birth]]&lt;&gt;"",(TODAY()-emp_db[[#This Row],[Date of Birth]])/365,"")</f>
        <v/>
      </c>
      <c r="S654" s="42">
        <f>YEAR(emp_db[[#This Row],[Column1]])</f>
        <v>1900</v>
      </c>
      <c r="T654" s="42">
        <f>MONTH(emp_db[[#This Row],[Column1]])</f>
        <v>1</v>
      </c>
      <c r="U654" s="42">
        <f>IFERROR(YEAR(emp_db[[#This Row],[Exit Date]]),"")</f>
        <v>1900</v>
      </c>
      <c r="V654" s="42">
        <f>IFERROR(MONTH(emp_db[[#This Row],[Exit Date]]),"")</f>
        <v>1</v>
      </c>
    </row>
    <row r="655" spans="2:22">
      <c r="B655" s="39"/>
      <c r="C655" s="39"/>
      <c r="D655" s="39"/>
      <c r="E655" s="39"/>
      <c r="F655" s="40"/>
      <c r="G655" s="38"/>
      <c r="H655" s="43"/>
      <c r="I655" s="43"/>
      <c r="J655" s="39"/>
      <c r="K655" s="38"/>
      <c r="L655" s="39"/>
      <c r="M655" s="39"/>
      <c r="N655" s="43"/>
      <c r="O655" s="38"/>
      <c r="P655" s="38"/>
      <c r="Q655" s="41" t="str">
        <f ca="1">IF(emp_db[[#This Row],[Exit Date]]&lt;&gt;"",(emp_db[[#This Row],[Exit Date]]-emp_db[[#This Row],[Column1]])/365,IF(emp_db[[#This Row],[ID]]&lt;&gt;"",(TODAY()-emp_db[[#This Row],[Column1]])/365,""))</f>
        <v/>
      </c>
      <c r="R655" s="42" t="str">
        <f ca="1">IF(emp_db[[#This Row],[Date of Birth]]&lt;&gt;"",(TODAY()-emp_db[[#This Row],[Date of Birth]])/365,"")</f>
        <v/>
      </c>
      <c r="S655" s="42">
        <f>YEAR(emp_db[[#This Row],[Column1]])</f>
        <v>1900</v>
      </c>
      <c r="T655" s="42">
        <f>MONTH(emp_db[[#This Row],[Column1]])</f>
        <v>1</v>
      </c>
      <c r="U655" s="42">
        <f>IFERROR(YEAR(emp_db[[#This Row],[Exit Date]]),"")</f>
        <v>1900</v>
      </c>
      <c r="V655" s="42">
        <f>IFERROR(MONTH(emp_db[[#This Row],[Exit Date]]),"")</f>
        <v>1</v>
      </c>
    </row>
    <row r="656" spans="2:22">
      <c r="B656" s="39"/>
      <c r="C656" s="39"/>
      <c r="D656" s="39"/>
      <c r="E656" s="39"/>
      <c r="F656" s="40"/>
      <c r="G656" s="38"/>
      <c r="H656" s="43"/>
      <c r="I656" s="43"/>
      <c r="J656" s="39"/>
      <c r="K656" s="38"/>
      <c r="L656" s="39"/>
      <c r="M656" s="39"/>
      <c r="N656" s="43"/>
      <c r="O656" s="38"/>
      <c r="P656" s="38"/>
      <c r="Q656" s="41" t="str">
        <f ca="1">IF(emp_db[[#This Row],[Exit Date]]&lt;&gt;"",(emp_db[[#This Row],[Exit Date]]-emp_db[[#This Row],[Column1]])/365,IF(emp_db[[#This Row],[ID]]&lt;&gt;"",(TODAY()-emp_db[[#This Row],[Column1]])/365,""))</f>
        <v/>
      </c>
      <c r="R656" s="42" t="str">
        <f ca="1">IF(emp_db[[#This Row],[Date of Birth]]&lt;&gt;"",(TODAY()-emp_db[[#This Row],[Date of Birth]])/365,"")</f>
        <v/>
      </c>
      <c r="S656" s="42">
        <f>YEAR(emp_db[[#This Row],[Column1]])</f>
        <v>1900</v>
      </c>
      <c r="T656" s="42">
        <f>MONTH(emp_db[[#This Row],[Column1]])</f>
        <v>1</v>
      </c>
      <c r="U656" s="42">
        <f>IFERROR(YEAR(emp_db[[#This Row],[Exit Date]]),"")</f>
        <v>1900</v>
      </c>
      <c r="V656" s="42">
        <f>IFERROR(MONTH(emp_db[[#This Row],[Exit Date]]),"")</f>
        <v>1</v>
      </c>
    </row>
    <row r="657" spans="2:22">
      <c r="B657" s="39"/>
      <c r="C657" s="39"/>
      <c r="D657" s="39"/>
      <c r="E657" s="39"/>
      <c r="F657" s="40"/>
      <c r="G657" s="38"/>
      <c r="H657" s="43"/>
      <c r="I657" s="43"/>
      <c r="J657" s="39"/>
      <c r="K657" s="38"/>
      <c r="L657" s="39"/>
      <c r="M657" s="39"/>
      <c r="N657" s="43"/>
      <c r="O657" s="38"/>
      <c r="P657" s="38"/>
      <c r="Q657" s="41" t="str">
        <f ca="1">IF(emp_db[[#This Row],[Exit Date]]&lt;&gt;"",(emp_db[[#This Row],[Exit Date]]-emp_db[[#This Row],[Column1]])/365,IF(emp_db[[#This Row],[ID]]&lt;&gt;"",(TODAY()-emp_db[[#This Row],[Column1]])/365,""))</f>
        <v/>
      </c>
      <c r="R657" s="42" t="str">
        <f ca="1">IF(emp_db[[#This Row],[Date of Birth]]&lt;&gt;"",(TODAY()-emp_db[[#This Row],[Date of Birth]])/365,"")</f>
        <v/>
      </c>
      <c r="S657" s="42">
        <f>YEAR(emp_db[[#This Row],[Column1]])</f>
        <v>1900</v>
      </c>
      <c r="T657" s="42">
        <f>MONTH(emp_db[[#This Row],[Column1]])</f>
        <v>1</v>
      </c>
      <c r="U657" s="42">
        <f>IFERROR(YEAR(emp_db[[#This Row],[Exit Date]]),"")</f>
        <v>1900</v>
      </c>
      <c r="V657" s="42">
        <f>IFERROR(MONTH(emp_db[[#This Row],[Exit Date]]),"")</f>
        <v>1</v>
      </c>
    </row>
    <row r="658" spans="2:22">
      <c r="B658" s="39"/>
      <c r="C658" s="39"/>
      <c r="D658" s="39"/>
      <c r="E658" s="39"/>
      <c r="F658" s="40"/>
      <c r="G658" s="38"/>
      <c r="H658" s="43"/>
      <c r="I658" s="43"/>
      <c r="J658" s="39"/>
      <c r="K658" s="38"/>
      <c r="L658" s="39"/>
      <c r="M658" s="39"/>
      <c r="N658" s="43"/>
      <c r="O658" s="38"/>
      <c r="P658" s="38"/>
      <c r="Q658" s="41" t="str">
        <f ca="1">IF(emp_db[[#This Row],[Exit Date]]&lt;&gt;"",(emp_db[[#This Row],[Exit Date]]-emp_db[[#This Row],[Column1]])/365,IF(emp_db[[#This Row],[ID]]&lt;&gt;"",(TODAY()-emp_db[[#This Row],[Column1]])/365,""))</f>
        <v/>
      </c>
      <c r="R658" s="42" t="str">
        <f ca="1">IF(emp_db[[#This Row],[Date of Birth]]&lt;&gt;"",(TODAY()-emp_db[[#This Row],[Date of Birth]])/365,"")</f>
        <v/>
      </c>
      <c r="S658" s="42">
        <f>YEAR(emp_db[[#This Row],[Column1]])</f>
        <v>1900</v>
      </c>
      <c r="T658" s="42">
        <f>MONTH(emp_db[[#This Row],[Column1]])</f>
        <v>1</v>
      </c>
      <c r="U658" s="42">
        <f>IFERROR(YEAR(emp_db[[#This Row],[Exit Date]]),"")</f>
        <v>1900</v>
      </c>
      <c r="V658" s="42">
        <f>IFERROR(MONTH(emp_db[[#This Row],[Exit Date]]),"")</f>
        <v>1</v>
      </c>
    </row>
    <row r="659" spans="2:22">
      <c r="B659" s="39"/>
      <c r="C659" s="39"/>
      <c r="D659" s="39"/>
      <c r="E659" s="39"/>
      <c r="F659" s="40"/>
      <c r="G659" s="38"/>
      <c r="H659" s="43"/>
      <c r="I659" s="43"/>
      <c r="J659" s="39"/>
      <c r="K659" s="38"/>
      <c r="L659" s="39"/>
      <c r="M659" s="39"/>
      <c r="N659" s="43"/>
      <c r="O659" s="38"/>
      <c r="P659" s="38"/>
      <c r="Q659" s="41" t="str">
        <f ca="1">IF(emp_db[[#This Row],[Exit Date]]&lt;&gt;"",(emp_db[[#This Row],[Exit Date]]-emp_db[[#This Row],[Column1]])/365,IF(emp_db[[#This Row],[ID]]&lt;&gt;"",(TODAY()-emp_db[[#This Row],[Column1]])/365,""))</f>
        <v/>
      </c>
      <c r="R659" s="42" t="str">
        <f ca="1">IF(emp_db[[#This Row],[Date of Birth]]&lt;&gt;"",(TODAY()-emp_db[[#This Row],[Date of Birth]])/365,"")</f>
        <v/>
      </c>
      <c r="S659" s="42">
        <f>YEAR(emp_db[[#This Row],[Column1]])</f>
        <v>1900</v>
      </c>
      <c r="T659" s="42">
        <f>MONTH(emp_db[[#This Row],[Column1]])</f>
        <v>1</v>
      </c>
      <c r="U659" s="42">
        <f>IFERROR(YEAR(emp_db[[#This Row],[Exit Date]]),"")</f>
        <v>1900</v>
      </c>
      <c r="V659" s="42">
        <f>IFERROR(MONTH(emp_db[[#This Row],[Exit Date]]),"")</f>
        <v>1</v>
      </c>
    </row>
    <row r="660" spans="2:22">
      <c r="B660" s="39"/>
      <c r="C660" s="39"/>
      <c r="D660" s="39"/>
      <c r="E660" s="39"/>
      <c r="F660" s="40"/>
      <c r="G660" s="38"/>
      <c r="H660" s="43"/>
      <c r="I660" s="43"/>
      <c r="J660" s="39"/>
      <c r="K660" s="38"/>
      <c r="L660" s="39"/>
      <c r="M660" s="39"/>
      <c r="N660" s="43"/>
      <c r="O660" s="38"/>
      <c r="P660" s="38"/>
      <c r="Q660" s="41" t="str">
        <f ca="1">IF(emp_db[[#This Row],[Exit Date]]&lt;&gt;"",(emp_db[[#This Row],[Exit Date]]-emp_db[[#This Row],[Column1]])/365,IF(emp_db[[#This Row],[ID]]&lt;&gt;"",(TODAY()-emp_db[[#This Row],[Column1]])/365,""))</f>
        <v/>
      </c>
      <c r="R660" s="42" t="str">
        <f ca="1">IF(emp_db[[#This Row],[Date of Birth]]&lt;&gt;"",(TODAY()-emp_db[[#This Row],[Date of Birth]])/365,"")</f>
        <v/>
      </c>
      <c r="S660" s="42">
        <f>YEAR(emp_db[[#This Row],[Column1]])</f>
        <v>1900</v>
      </c>
      <c r="T660" s="42">
        <f>MONTH(emp_db[[#This Row],[Column1]])</f>
        <v>1</v>
      </c>
      <c r="U660" s="42">
        <f>IFERROR(YEAR(emp_db[[#This Row],[Exit Date]]),"")</f>
        <v>1900</v>
      </c>
      <c r="V660" s="42">
        <f>IFERROR(MONTH(emp_db[[#This Row],[Exit Date]]),"")</f>
        <v>1</v>
      </c>
    </row>
    <row r="661" spans="2:22">
      <c r="B661" s="39"/>
      <c r="C661" s="39"/>
      <c r="D661" s="39"/>
      <c r="E661" s="39"/>
      <c r="F661" s="40"/>
      <c r="G661" s="38"/>
      <c r="H661" s="43"/>
      <c r="I661" s="43"/>
      <c r="J661" s="39"/>
      <c r="K661" s="38"/>
      <c r="L661" s="39"/>
      <c r="M661" s="39"/>
      <c r="N661" s="43"/>
      <c r="O661" s="38"/>
      <c r="P661" s="38"/>
      <c r="Q661" s="41" t="str">
        <f ca="1">IF(emp_db[[#This Row],[Exit Date]]&lt;&gt;"",(emp_db[[#This Row],[Exit Date]]-emp_db[[#This Row],[Column1]])/365,IF(emp_db[[#This Row],[ID]]&lt;&gt;"",(TODAY()-emp_db[[#This Row],[Column1]])/365,""))</f>
        <v/>
      </c>
      <c r="R661" s="42" t="str">
        <f ca="1">IF(emp_db[[#This Row],[Date of Birth]]&lt;&gt;"",(TODAY()-emp_db[[#This Row],[Date of Birth]])/365,"")</f>
        <v/>
      </c>
      <c r="S661" s="42">
        <f>YEAR(emp_db[[#This Row],[Column1]])</f>
        <v>1900</v>
      </c>
      <c r="T661" s="42">
        <f>MONTH(emp_db[[#This Row],[Column1]])</f>
        <v>1</v>
      </c>
      <c r="U661" s="42">
        <f>IFERROR(YEAR(emp_db[[#This Row],[Exit Date]]),"")</f>
        <v>1900</v>
      </c>
      <c r="V661" s="42">
        <f>IFERROR(MONTH(emp_db[[#This Row],[Exit Date]]),"")</f>
        <v>1</v>
      </c>
    </row>
    <row r="662" spans="2:22">
      <c r="B662" s="39"/>
      <c r="C662" s="39"/>
      <c r="D662" s="39"/>
      <c r="E662" s="39"/>
      <c r="F662" s="40"/>
      <c r="G662" s="38"/>
      <c r="H662" s="43"/>
      <c r="I662" s="43"/>
      <c r="J662" s="39"/>
      <c r="K662" s="38"/>
      <c r="L662" s="39"/>
      <c r="M662" s="39"/>
      <c r="N662" s="43"/>
      <c r="O662" s="38"/>
      <c r="P662" s="38"/>
      <c r="Q662" s="41" t="str">
        <f ca="1">IF(emp_db[[#This Row],[Exit Date]]&lt;&gt;"",(emp_db[[#This Row],[Exit Date]]-emp_db[[#This Row],[Column1]])/365,IF(emp_db[[#This Row],[ID]]&lt;&gt;"",(TODAY()-emp_db[[#This Row],[Column1]])/365,""))</f>
        <v/>
      </c>
      <c r="R662" s="42" t="str">
        <f ca="1">IF(emp_db[[#This Row],[Date of Birth]]&lt;&gt;"",(TODAY()-emp_db[[#This Row],[Date of Birth]])/365,"")</f>
        <v/>
      </c>
      <c r="S662" s="42">
        <f>YEAR(emp_db[[#This Row],[Column1]])</f>
        <v>1900</v>
      </c>
      <c r="T662" s="42">
        <f>MONTH(emp_db[[#This Row],[Column1]])</f>
        <v>1</v>
      </c>
      <c r="U662" s="42">
        <f>IFERROR(YEAR(emp_db[[#This Row],[Exit Date]]),"")</f>
        <v>1900</v>
      </c>
      <c r="V662" s="42">
        <f>IFERROR(MONTH(emp_db[[#This Row],[Exit Date]]),"")</f>
        <v>1</v>
      </c>
    </row>
    <row r="663" spans="2:22">
      <c r="B663" s="39"/>
      <c r="C663" s="39"/>
      <c r="D663" s="39"/>
      <c r="E663" s="39"/>
      <c r="F663" s="40"/>
      <c r="G663" s="38"/>
      <c r="H663" s="43"/>
      <c r="I663" s="43"/>
      <c r="J663" s="39"/>
      <c r="K663" s="38"/>
      <c r="L663" s="39"/>
      <c r="M663" s="39"/>
      <c r="N663" s="43"/>
      <c r="O663" s="38"/>
      <c r="P663" s="38"/>
      <c r="Q663" s="41" t="str">
        <f ca="1">IF(emp_db[[#This Row],[Exit Date]]&lt;&gt;"",(emp_db[[#This Row],[Exit Date]]-emp_db[[#This Row],[Column1]])/365,IF(emp_db[[#This Row],[ID]]&lt;&gt;"",(TODAY()-emp_db[[#This Row],[Column1]])/365,""))</f>
        <v/>
      </c>
      <c r="R663" s="42" t="str">
        <f ca="1">IF(emp_db[[#This Row],[Date of Birth]]&lt;&gt;"",(TODAY()-emp_db[[#This Row],[Date of Birth]])/365,"")</f>
        <v/>
      </c>
      <c r="S663" s="42">
        <f>YEAR(emp_db[[#This Row],[Column1]])</f>
        <v>1900</v>
      </c>
      <c r="T663" s="42">
        <f>MONTH(emp_db[[#This Row],[Column1]])</f>
        <v>1</v>
      </c>
      <c r="U663" s="42">
        <f>IFERROR(YEAR(emp_db[[#This Row],[Exit Date]]),"")</f>
        <v>1900</v>
      </c>
      <c r="V663" s="42">
        <f>IFERROR(MONTH(emp_db[[#This Row],[Exit Date]]),"")</f>
        <v>1</v>
      </c>
    </row>
    <row r="664" spans="2:22">
      <c r="B664" s="39"/>
      <c r="C664" s="39"/>
      <c r="D664" s="39"/>
      <c r="E664" s="39"/>
      <c r="F664" s="40"/>
      <c r="G664" s="38"/>
      <c r="H664" s="43"/>
      <c r="I664" s="43"/>
      <c r="J664" s="39"/>
      <c r="K664" s="38"/>
      <c r="L664" s="39"/>
      <c r="M664" s="39"/>
      <c r="N664" s="43"/>
      <c r="O664" s="38"/>
      <c r="P664" s="38"/>
      <c r="Q664" s="41" t="str">
        <f ca="1">IF(emp_db[[#This Row],[Exit Date]]&lt;&gt;"",(emp_db[[#This Row],[Exit Date]]-emp_db[[#This Row],[Column1]])/365,IF(emp_db[[#This Row],[ID]]&lt;&gt;"",(TODAY()-emp_db[[#This Row],[Column1]])/365,""))</f>
        <v/>
      </c>
      <c r="R664" s="42" t="str">
        <f ca="1">IF(emp_db[[#This Row],[Date of Birth]]&lt;&gt;"",(TODAY()-emp_db[[#This Row],[Date of Birth]])/365,"")</f>
        <v/>
      </c>
      <c r="S664" s="42">
        <f>YEAR(emp_db[[#This Row],[Column1]])</f>
        <v>1900</v>
      </c>
      <c r="T664" s="42">
        <f>MONTH(emp_db[[#This Row],[Column1]])</f>
        <v>1</v>
      </c>
      <c r="U664" s="42">
        <f>IFERROR(YEAR(emp_db[[#This Row],[Exit Date]]),"")</f>
        <v>1900</v>
      </c>
      <c r="V664" s="42">
        <f>IFERROR(MONTH(emp_db[[#This Row],[Exit Date]]),"")</f>
        <v>1</v>
      </c>
    </row>
    <row r="665" spans="2:22">
      <c r="B665" s="39"/>
      <c r="C665" s="39"/>
      <c r="D665" s="39"/>
      <c r="E665" s="39"/>
      <c r="F665" s="40"/>
      <c r="G665" s="38"/>
      <c r="H665" s="43"/>
      <c r="I665" s="43"/>
      <c r="J665" s="39"/>
      <c r="K665" s="38"/>
      <c r="L665" s="39"/>
      <c r="M665" s="39"/>
      <c r="N665" s="43"/>
      <c r="O665" s="38"/>
      <c r="P665" s="38"/>
      <c r="Q665" s="41" t="str">
        <f ca="1">IF(emp_db[[#This Row],[Exit Date]]&lt;&gt;"",(emp_db[[#This Row],[Exit Date]]-emp_db[[#This Row],[Column1]])/365,IF(emp_db[[#This Row],[ID]]&lt;&gt;"",(TODAY()-emp_db[[#This Row],[Column1]])/365,""))</f>
        <v/>
      </c>
      <c r="R665" s="42" t="str">
        <f ca="1">IF(emp_db[[#This Row],[Date of Birth]]&lt;&gt;"",(TODAY()-emp_db[[#This Row],[Date of Birth]])/365,"")</f>
        <v/>
      </c>
      <c r="S665" s="42">
        <f>YEAR(emp_db[[#This Row],[Column1]])</f>
        <v>1900</v>
      </c>
      <c r="T665" s="42">
        <f>MONTH(emp_db[[#This Row],[Column1]])</f>
        <v>1</v>
      </c>
      <c r="U665" s="42">
        <f>IFERROR(YEAR(emp_db[[#This Row],[Exit Date]]),"")</f>
        <v>1900</v>
      </c>
      <c r="V665" s="42">
        <f>IFERROR(MONTH(emp_db[[#This Row],[Exit Date]]),"")</f>
        <v>1</v>
      </c>
    </row>
    <row r="666" spans="2:22">
      <c r="B666" s="39"/>
      <c r="C666" s="39"/>
      <c r="D666" s="39"/>
      <c r="E666" s="39"/>
      <c r="F666" s="40"/>
      <c r="G666" s="38"/>
      <c r="H666" s="43"/>
      <c r="I666" s="43"/>
      <c r="J666" s="39"/>
      <c r="K666" s="38"/>
      <c r="L666" s="39"/>
      <c r="M666" s="39"/>
      <c r="N666" s="43"/>
      <c r="O666" s="38"/>
      <c r="P666" s="38"/>
      <c r="Q666" s="41" t="str">
        <f ca="1">IF(emp_db[[#This Row],[Exit Date]]&lt;&gt;"",(emp_db[[#This Row],[Exit Date]]-emp_db[[#This Row],[Column1]])/365,IF(emp_db[[#This Row],[ID]]&lt;&gt;"",(TODAY()-emp_db[[#This Row],[Column1]])/365,""))</f>
        <v/>
      </c>
      <c r="R666" s="42" t="str">
        <f ca="1">IF(emp_db[[#This Row],[Date of Birth]]&lt;&gt;"",(TODAY()-emp_db[[#This Row],[Date of Birth]])/365,"")</f>
        <v/>
      </c>
      <c r="S666" s="42">
        <f>YEAR(emp_db[[#This Row],[Column1]])</f>
        <v>1900</v>
      </c>
      <c r="T666" s="42">
        <f>MONTH(emp_db[[#This Row],[Column1]])</f>
        <v>1</v>
      </c>
      <c r="U666" s="42">
        <f>IFERROR(YEAR(emp_db[[#This Row],[Exit Date]]),"")</f>
        <v>1900</v>
      </c>
      <c r="V666" s="42">
        <f>IFERROR(MONTH(emp_db[[#This Row],[Exit Date]]),"")</f>
        <v>1</v>
      </c>
    </row>
    <row r="667" spans="2:22">
      <c r="B667" s="39"/>
      <c r="C667" s="39"/>
      <c r="D667" s="39"/>
      <c r="E667" s="39"/>
      <c r="F667" s="40"/>
      <c r="G667" s="38"/>
      <c r="H667" s="43"/>
      <c r="I667" s="43"/>
      <c r="J667" s="39"/>
      <c r="K667" s="38"/>
      <c r="L667" s="39"/>
      <c r="M667" s="39"/>
      <c r="N667" s="43"/>
      <c r="O667" s="38"/>
      <c r="P667" s="38"/>
      <c r="Q667" s="41" t="str">
        <f ca="1">IF(emp_db[[#This Row],[Exit Date]]&lt;&gt;"",(emp_db[[#This Row],[Exit Date]]-emp_db[[#This Row],[Column1]])/365,IF(emp_db[[#This Row],[ID]]&lt;&gt;"",(TODAY()-emp_db[[#This Row],[Column1]])/365,""))</f>
        <v/>
      </c>
      <c r="R667" s="42" t="str">
        <f ca="1">IF(emp_db[[#This Row],[Date of Birth]]&lt;&gt;"",(TODAY()-emp_db[[#This Row],[Date of Birth]])/365,"")</f>
        <v/>
      </c>
      <c r="S667" s="42">
        <f>YEAR(emp_db[[#This Row],[Column1]])</f>
        <v>1900</v>
      </c>
      <c r="T667" s="42">
        <f>MONTH(emp_db[[#This Row],[Column1]])</f>
        <v>1</v>
      </c>
      <c r="U667" s="42">
        <f>IFERROR(YEAR(emp_db[[#This Row],[Exit Date]]),"")</f>
        <v>1900</v>
      </c>
      <c r="V667" s="42">
        <f>IFERROR(MONTH(emp_db[[#This Row],[Exit Date]]),"")</f>
        <v>1</v>
      </c>
    </row>
    <row r="668" spans="2:22">
      <c r="B668" s="39"/>
      <c r="C668" s="39"/>
      <c r="D668" s="39"/>
      <c r="E668" s="39"/>
      <c r="F668" s="40"/>
      <c r="G668" s="38"/>
      <c r="H668" s="43"/>
      <c r="I668" s="43"/>
      <c r="J668" s="39"/>
      <c r="K668" s="38"/>
      <c r="L668" s="39"/>
      <c r="M668" s="39"/>
      <c r="N668" s="43"/>
      <c r="O668" s="38"/>
      <c r="P668" s="38"/>
      <c r="Q668" s="41" t="str">
        <f ca="1">IF(emp_db[[#This Row],[Exit Date]]&lt;&gt;"",(emp_db[[#This Row],[Exit Date]]-emp_db[[#This Row],[Column1]])/365,IF(emp_db[[#This Row],[ID]]&lt;&gt;"",(TODAY()-emp_db[[#This Row],[Column1]])/365,""))</f>
        <v/>
      </c>
      <c r="R668" s="42" t="str">
        <f ca="1">IF(emp_db[[#This Row],[Date of Birth]]&lt;&gt;"",(TODAY()-emp_db[[#This Row],[Date of Birth]])/365,"")</f>
        <v/>
      </c>
      <c r="S668" s="42">
        <f>YEAR(emp_db[[#This Row],[Column1]])</f>
        <v>1900</v>
      </c>
      <c r="T668" s="42">
        <f>MONTH(emp_db[[#This Row],[Column1]])</f>
        <v>1</v>
      </c>
      <c r="U668" s="42">
        <f>IFERROR(YEAR(emp_db[[#This Row],[Exit Date]]),"")</f>
        <v>1900</v>
      </c>
      <c r="V668" s="42">
        <f>IFERROR(MONTH(emp_db[[#This Row],[Exit Date]]),"")</f>
        <v>1</v>
      </c>
    </row>
    <row r="669" spans="2:22">
      <c r="B669" s="39"/>
      <c r="C669" s="39"/>
      <c r="D669" s="39"/>
      <c r="E669" s="39"/>
      <c r="F669" s="40"/>
      <c r="G669" s="38"/>
      <c r="H669" s="43"/>
      <c r="I669" s="43"/>
      <c r="J669" s="39"/>
      <c r="K669" s="38"/>
      <c r="L669" s="39"/>
      <c r="M669" s="39"/>
      <c r="N669" s="43"/>
      <c r="O669" s="38"/>
      <c r="P669" s="38"/>
      <c r="Q669" s="41" t="str">
        <f ca="1">IF(emp_db[[#This Row],[Exit Date]]&lt;&gt;"",(emp_db[[#This Row],[Exit Date]]-emp_db[[#This Row],[Column1]])/365,IF(emp_db[[#This Row],[ID]]&lt;&gt;"",(TODAY()-emp_db[[#This Row],[Column1]])/365,""))</f>
        <v/>
      </c>
      <c r="R669" s="42" t="str">
        <f ca="1">IF(emp_db[[#This Row],[Date of Birth]]&lt;&gt;"",(TODAY()-emp_db[[#This Row],[Date of Birth]])/365,"")</f>
        <v/>
      </c>
      <c r="S669" s="42">
        <f>YEAR(emp_db[[#This Row],[Column1]])</f>
        <v>1900</v>
      </c>
      <c r="T669" s="42">
        <f>MONTH(emp_db[[#This Row],[Column1]])</f>
        <v>1</v>
      </c>
      <c r="U669" s="42">
        <f>IFERROR(YEAR(emp_db[[#This Row],[Exit Date]]),"")</f>
        <v>1900</v>
      </c>
      <c r="V669" s="42">
        <f>IFERROR(MONTH(emp_db[[#This Row],[Exit Date]]),"")</f>
        <v>1</v>
      </c>
    </row>
    <row r="670" spans="2:22">
      <c r="B670" s="39"/>
      <c r="C670" s="39"/>
      <c r="D670" s="39"/>
      <c r="E670" s="39"/>
      <c r="F670" s="40"/>
      <c r="G670" s="38"/>
      <c r="H670" s="43"/>
      <c r="I670" s="43"/>
      <c r="J670" s="39"/>
      <c r="K670" s="38"/>
      <c r="L670" s="39"/>
      <c r="M670" s="39"/>
      <c r="N670" s="43"/>
      <c r="O670" s="38"/>
      <c r="P670" s="38"/>
      <c r="Q670" s="41" t="str">
        <f ca="1">IF(emp_db[[#This Row],[Exit Date]]&lt;&gt;"",(emp_db[[#This Row],[Exit Date]]-emp_db[[#This Row],[Column1]])/365,IF(emp_db[[#This Row],[ID]]&lt;&gt;"",(TODAY()-emp_db[[#This Row],[Column1]])/365,""))</f>
        <v/>
      </c>
      <c r="R670" s="42" t="str">
        <f ca="1">IF(emp_db[[#This Row],[Date of Birth]]&lt;&gt;"",(TODAY()-emp_db[[#This Row],[Date of Birth]])/365,"")</f>
        <v/>
      </c>
      <c r="S670" s="42">
        <f>YEAR(emp_db[[#This Row],[Column1]])</f>
        <v>1900</v>
      </c>
      <c r="T670" s="42">
        <f>MONTH(emp_db[[#This Row],[Column1]])</f>
        <v>1</v>
      </c>
      <c r="U670" s="42">
        <f>IFERROR(YEAR(emp_db[[#This Row],[Exit Date]]),"")</f>
        <v>1900</v>
      </c>
      <c r="V670" s="42">
        <f>IFERROR(MONTH(emp_db[[#This Row],[Exit Date]]),"")</f>
        <v>1</v>
      </c>
    </row>
    <row r="671" spans="2:22">
      <c r="B671" s="39"/>
      <c r="C671" s="39"/>
      <c r="D671" s="39"/>
      <c r="E671" s="39"/>
      <c r="F671" s="40"/>
      <c r="G671" s="38"/>
      <c r="H671" s="43"/>
      <c r="I671" s="43"/>
      <c r="J671" s="39"/>
      <c r="K671" s="38"/>
      <c r="L671" s="39"/>
      <c r="M671" s="39"/>
      <c r="N671" s="43"/>
      <c r="O671" s="38"/>
      <c r="P671" s="38"/>
      <c r="Q671" s="41" t="str">
        <f ca="1">IF(emp_db[[#This Row],[Exit Date]]&lt;&gt;"",(emp_db[[#This Row],[Exit Date]]-emp_db[[#This Row],[Column1]])/365,IF(emp_db[[#This Row],[ID]]&lt;&gt;"",(TODAY()-emp_db[[#This Row],[Column1]])/365,""))</f>
        <v/>
      </c>
      <c r="R671" s="42" t="str">
        <f ca="1">IF(emp_db[[#This Row],[Date of Birth]]&lt;&gt;"",(TODAY()-emp_db[[#This Row],[Date of Birth]])/365,"")</f>
        <v/>
      </c>
      <c r="S671" s="42">
        <f>YEAR(emp_db[[#This Row],[Column1]])</f>
        <v>1900</v>
      </c>
      <c r="T671" s="42">
        <f>MONTH(emp_db[[#This Row],[Column1]])</f>
        <v>1</v>
      </c>
      <c r="U671" s="42">
        <f>IFERROR(YEAR(emp_db[[#This Row],[Exit Date]]),"")</f>
        <v>1900</v>
      </c>
      <c r="V671" s="42">
        <f>IFERROR(MONTH(emp_db[[#This Row],[Exit Date]]),"")</f>
        <v>1</v>
      </c>
    </row>
    <row r="672" spans="2:22">
      <c r="B672" s="39"/>
      <c r="C672" s="39"/>
      <c r="D672" s="39"/>
      <c r="E672" s="39"/>
      <c r="F672" s="40"/>
      <c r="G672" s="38"/>
      <c r="H672" s="43"/>
      <c r="I672" s="43"/>
      <c r="J672" s="39"/>
      <c r="K672" s="38"/>
      <c r="L672" s="39"/>
      <c r="M672" s="39"/>
      <c r="N672" s="43"/>
      <c r="O672" s="38"/>
      <c r="P672" s="38"/>
      <c r="Q672" s="41" t="str">
        <f ca="1">IF(emp_db[[#This Row],[Exit Date]]&lt;&gt;"",(emp_db[[#This Row],[Exit Date]]-emp_db[[#This Row],[Column1]])/365,IF(emp_db[[#This Row],[ID]]&lt;&gt;"",(TODAY()-emp_db[[#This Row],[Column1]])/365,""))</f>
        <v/>
      </c>
      <c r="R672" s="42" t="str">
        <f ca="1">IF(emp_db[[#This Row],[Date of Birth]]&lt;&gt;"",(TODAY()-emp_db[[#This Row],[Date of Birth]])/365,"")</f>
        <v/>
      </c>
      <c r="S672" s="42">
        <f>YEAR(emp_db[[#This Row],[Column1]])</f>
        <v>1900</v>
      </c>
      <c r="T672" s="42">
        <f>MONTH(emp_db[[#This Row],[Column1]])</f>
        <v>1</v>
      </c>
      <c r="U672" s="42">
        <f>IFERROR(YEAR(emp_db[[#This Row],[Exit Date]]),"")</f>
        <v>1900</v>
      </c>
      <c r="V672" s="42">
        <f>IFERROR(MONTH(emp_db[[#This Row],[Exit Date]]),"")</f>
        <v>1</v>
      </c>
    </row>
    <row r="673" spans="2:22">
      <c r="B673" s="39"/>
      <c r="C673" s="39"/>
      <c r="D673" s="39"/>
      <c r="E673" s="39"/>
      <c r="F673" s="40"/>
      <c r="G673" s="38"/>
      <c r="H673" s="43"/>
      <c r="I673" s="43"/>
      <c r="J673" s="39"/>
      <c r="K673" s="38"/>
      <c r="L673" s="39"/>
      <c r="M673" s="39"/>
      <c r="N673" s="43"/>
      <c r="O673" s="38"/>
      <c r="P673" s="38"/>
      <c r="Q673" s="41" t="str">
        <f ca="1">IF(emp_db[[#This Row],[Exit Date]]&lt;&gt;"",(emp_db[[#This Row],[Exit Date]]-emp_db[[#This Row],[Column1]])/365,IF(emp_db[[#This Row],[ID]]&lt;&gt;"",(TODAY()-emp_db[[#This Row],[Column1]])/365,""))</f>
        <v/>
      </c>
      <c r="R673" s="42" t="str">
        <f ca="1">IF(emp_db[[#This Row],[Date of Birth]]&lt;&gt;"",(TODAY()-emp_db[[#This Row],[Date of Birth]])/365,"")</f>
        <v/>
      </c>
      <c r="S673" s="42">
        <f>YEAR(emp_db[[#This Row],[Column1]])</f>
        <v>1900</v>
      </c>
      <c r="T673" s="42">
        <f>MONTH(emp_db[[#This Row],[Column1]])</f>
        <v>1</v>
      </c>
      <c r="U673" s="42">
        <f>IFERROR(YEAR(emp_db[[#This Row],[Exit Date]]),"")</f>
        <v>1900</v>
      </c>
      <c r="V673" s="42">
        <f>IFERROR(MONTH(emp_db[[#This Row],[Exit Date]]),"")</f>
        <v>1</v>
      </c>
    </row>
    <row r="674" spans="2:22">
      <c r="B674" s="39"/>
      <c r="C674" s="39"/>
      <c r="D674" s="39"/>
      <c r="E674" s="39"/>
      <c r="F674" s="40"/>
      <c r="G674" s="38"/>
      <c r="H674" s="43"/>
      <c r="I674" s="43"/>
      <c r="J674" s="39"/>
      <c r="K674" s="38"/>
      <c r="L674" s="39"/>
      <c r="M674" s="39"/>
      <c r="N674" s="43"/>
      <c r="O674" s="38"/>
      <c r="P674" s="38"/>
      <c r="Q674" s="41" t="str">
        <f ca="1">IF(emp_db[[#This Row],[Exit Date]]&lt;&gt;"",(emp_db[[#This Row],[Exit Date]]-emp_db[[#This Row],[Column1]])/365,IF(emp_db[[#This Row],[ID]]&lt;&gt;"",(TODAY()-emp_db[[#This Row],[Column1]])/365,""))</f>
        <v/>
      </c>
      <c r="R674" s="42" t="str">
        <f ca="1">IF(emp_db[[#This Row],[Date of Birth]]&lt;&gt;"",(TODAY()-emp_db[[#This Row],[Date of Birth]])/365,"")</f>
        <v/>
      </c>
      <c r="S674" s="42">
        <f>YEAR(emp_db[[#This Row],[Column1]])</f>
        <v>1900</v>
      </c>
      <c r="T674" s="42">
        <f>MONTH(emp_db[[#This Row],[Column1]])</f>
        <v>1</v>
      </c>
      <c r="U674" s="42">
        <f>IFERROR(YEAR(emp_db[[#This Row],[Exit Date]]),"")</f>
        <v>1900</v>
      </c>
      <c r="V674" s="42">
        <f>IFERROR(MONTH(emp_db[[#This Row],[Exit Date]]),"")</f>
        <v>1</v>
      </c>
    </row>
    <row r="675" spans="2:22">
      <c r="B675" s="39"/>
      <c r="C675" s="39"/>
      <c r="D675" s="39"/>
      <c r="E675" s="39"/>
      <c r="F675" s="40"/>
      <c r="G675" s="38"/>
      <c r="H675" s="43"/>
      <c r="I675" s="43"/>
      <c r="J675" s="39"/>
      <c r="K675" s="38"/>
      <c r="L675" s="39"/>
      <c r="M675" s="39"/>
      <c r="N675" s="43"/>
      <c r="O675" s="38"/>
      <c r="P675" s="38"/>
      <c r="Q675" s="41" t="str">
        <f ca="1">IF(emp_db[[#This Row],[Exit Date]]&lt;&gt;"",(emp_db[[#This Row],[Exit Date]]-emp_db[[#This Row],[Column1]])/365,IF(emp_db[[#This Row],[ID]]&lt;&gt;"",(TODAY()-emp_db[[#This Row],[Column1]])/365,""))</f>
        <v/>
      </c>
      <c r="R675" s="42" t="str">
        <f ca="1">IF(emp_db[[#This Row],[Date of Birth]]&lt;&gt;"",(TODAY()-emp_db[[#This Row],[Date of Birth]])/365,"")</f>
        <v/>
      </c>
      <c r="S675" s="42">
        <f>YEAR(emp_db[[#This Row],[Column1]])</f>
        <v>1900</v>
      </c>
      <c r="T675" s="42">
        <f>MONTH(emp_db[[#This Row],[Column1]])</f>
        <v>1</v>
      </c>
      <c r="U675" s="42">
        <f>IFERROR(YEAR(emp_db[[#This Row],[Exit Date]]),"")</f>
        <v>1900</v>
      </c>
      <c r="V675" s="42">
        <f>IFERROR(MONTH(emp_db[[#This Row],[Exit Date]]),"")</f>
        <v>1</v>
      </c>
    </row>
    <row r="676" spans="2:22">
      <c r="B676" s="39"/>
      <c r="C676" s="39"/>
      <c r="D676" s="39"/>
      <c r="E676" s="39"/>
      <c r="F676" s="40"/>
      <c r="G676" s="38"/>
      <c r="H676" s="43"/>
      <c r="I676" s="43"/>
      <c r="J676" s="39"/>
      <c r="K676" s="38"/>
      <c r="L676" s="39"/>
      <c r="M676" s="39"/>
      <c r="N676" s="43"/>
      <c r="O676" s="38"/>
      <c r="P676" s="38"/>
      <c r="Q676" s="41" t="str">
        <f ca="1">IF(emp_db[[#This Row],[Exit Date]]&lt;&gt;"",(emp_db[[#This Row],[Exit Date]]-emp_db[[#This Row],[Column1]])/365,IF(emp_db[[#This Row],[ID]]&lt;&gt;"",(TODAY()-emp_db[[#This Row],[Column1]])/365,""))</f>
        <v/>
      </c>
      <c r="R676" s="42" t="str">
        <f ca="1">IF(emp_db[[#This Row],[Date of Birth]]&lt;&gt;"",(TODAY()-emp_db[[#This Row],[Date of Birth]])/365,"")</f>
        <v/>
      </c>
      <c r="S676" s="42">
        <f>YEAR(emp_db[[#This Row],[Column1]])</f>
        <v>1900</v>
      </c>
      <c r="T676" s="42">
        <f>MONTH(emp_db[[#This Row],[Column1]])</f>
        <v>1</v>
      </c>
      <c r="U676" s="42">
        <f>IFERROR(YEAR(emp_db[[#This Row],[Exit Date]]),"")</f>
        <v>1900</v>
      </c>
      <c r="V676" s="42">
        <f>IFERROR(MONTH(emp_db[[#This Row],[Exit Date]]),"")</f>
        <v>1</v>
      </c>
    </row>
    <row r="677" spans="2:22">
      <c r="B677" s="39"/>
      <c r="C677" s="39"/>
      <c r="D677" s="39"/>
      <c r="E677" s="39"/>
      <c r="F677" s="40"/>
      <c r="G677" s="38"/>
      <c r="H677" s="43"/>
      <c r="I677" s="43"/>
      <c r="J677" s="39"/>
      <c r="K677" s="38"/>
      <c r="L677" s="39"/>
      <c r="M677" s="39"/>
      <c r="N677" s="43"/>
      <c r="O677" s="38"/>
      <c r="P677" s="38"/>
      <c r="Q677" s="41" t="str">
        <f ca="1">IF(emp_db[[#This Row],[Exit Date]]&lt;&gt;"",(emp_db[[#This Row],[Exit Date]]-emp_db[[#This Row],[Column1]])/365,IF(emp_db[[#This Row],[ID]]&lt;&gt;"",(TODAY()-emp_db[[#This Row],[Column1]])/365,""))</f>
        <v/>
      </c>
      <c r="R677" s="42" t="str">
        <f ca="1">IF(emp_db[[#This Row],[Date of Birth]]&lt;&gt;"",(TODAY()-emp_db[[#This Row],[Date of Birth]])/365,"")</f>
        <v/>
      </c>
      <c r="S677" s="42">
        <f>YEAR(emp_db[[#This Row],[Column1]])</f>
        <v>1900</v>
      </c>
      <c r="T677" s="42">
        <f>MONTH(emp_db[[#This Row],[Column1]])</f>
        <v>1</v>
      </c>
      <c r="U677" s="42">
        <f>IFERROR(YEAR(emp_db[[#This Row],[Exit Date]]),"")</f>
        <v>1900</v>
      </c>
      <c r="V677" s="42">
        <f>IFERROR(MONTH(emp_db[[#This Row],[Exit Date]]),"")</f>
        <v>1</v>
      </c>
    </row>
    <row r="678" spans="2:22">
      <c r="B678" s="39"/>
      <c r="C678" s="39"/>
      <c r="D678" s="39"/>
      <c r="E678" s="39"/>
      <c r="F678" s="40"/>
      <c r="G678" s="38"/>
      <c r="H678" s="43"/>
      <c r="I678" s="43"/>
      <c r="J678" s="39"/>
      <c r="K678" s="38"/>
      <c r="L678" s="39"/>
      <c r="M678" s="39"/>
      <c r="N678" s="43"/>
      <c r="O678" s="38"/>
      <c r="P678" s="38"/>
      <c r="Q678" s="41" t="str">
        <f ca="1">IF(emp_db[[#This Row],[Exit Date]]&lt;&gt;"",(emp_db[[#This Row],[Exit Date]]-emp_db[[#This Row],[Column1]])/365,IF(emp_db[[#This Row],[ID]]&lt;&gt;"",(TODAY()-emp_db[[#This Row],[Column1]])/365,""))</f>
        <v/>
      </c>
      <c r="R678" s="42" t="str">
        <f ca="1">IF(emp_db[[#This Row],[Date of Birth]]&lt;&gt;"",(TODAY()-emp_db[[#This Row],[Date of Birth]])/365,"")</f>
        <v/>
      </c>
      <c r="S678" s="42">
        <f>YEAR(emp_db[[#This Row],[Column1]])</f>
        <v>1900</v>
      </c>
      <c r="T678" s="42">
        <f>MONTH(emp_db[[#This Row],[Column1]])</f>
        <v>1</v>
      </c>
      <c r="U678" s="42">
        <f>IFERROR(YEAR(emp_db[[#This Row],[Exit Date]]),"")</f>
        <v>1900</v>
      </c>
      <c r="V678" s="42">
        <f>IFERROR(MONTH(emp_db[[#This Row],[Exit Date]]),"")</f>
        <v>1</v>
      </c>
    </row>
    <row r="679" spans="2:22">
      <c r="B679" s="39"/>
      <c r="C679" s="39"/>
      <c r="D679" s="39"/>
      <c r="E679" s="39"/>
      <c r="F679" s="40"/>
      <c r="G679" s="38"/>
      <c r="H679" s="43"/>
      <c r="I679" s="43"/>
      <c r="J679" s="39"/>
      <c r="K679" s="38"/>
      <c r="L679" s="39"/>
      <c r="M679" s="39"/>
      <c r="N679" s="43"/>
      <c r="O679" s="38"/>
      <c r="P679" s="38"/>
      <c r="Q679" s="41" t="str">
        <f ca="1">IF(emp_db[[#This Row],[Exit Date]]&lt;&gt;"",(emp_db[[#This Row],[Exit Date]]-emp_db[[#This Row],[Column1]])/365,IF(emp_db[[#This Row],[ID]]&lt;&gt;"",(TODAY()-emp_db[[#This Row],[Column1]])/365,""))</f>
        <v/>
      </c>
      <c r="R679" s="42" t="str">
        <f ca="1">IF(emp_db[[#This Row],[Date of Birth]]&lt;&gt;"",(TODAY()-emp_db[[#This Row],[Date of Birth]])/365,"")</f>
        <v/>
      </c>
      <c r="S679" s="42">
        <f>YEAR(emp_db[[#This Row],[Column1]])</f>
        <v>1900</v>
      </c>
      <c r="T679" s="42">
        <f>MONTH(emp_db[[#This Row],[Column1]])</f>
        <v>1</v>
      </c>
      <c r="U679" s="42">
        <f>IFERROR(YEAR(emp_db[[#This Row],[Exit Date]]),"")</f>
        <v>1900</v>
      </c>
      <c r="V679" s="42">
        <f>IFERROR(MONTH(emp_db[[#This Row],[Exit Date]]),"")</f>
        <v>1</v>
      </c>
    </row>
    <row r="680" spans="2:22">
      <c r="B680" s="39"/>
      <c r="C680" s="39"/>
      <c r="D680" s="39"/>
      <c r="E680" s="39"/>
      <c r="F680" s="40"/>
      <c r="G680" s="38"/>
      <c r="H680" s="43"/>
      <c r="I680" s="43"/>
      <c r="J680" s="39"/>
      <c r="K680" s="38"/>
      <c r="L680" s="39"/>
      <c r="M680" s="39"/>
      <c r="N680" s="43"/>
      <c r="O680" s="38"/>
      <c r="P680" s="38"/>
      <c r="Q680" s="41" t="str">
        <f ca="1">IF(emp_db[[#This Row],[Exit Date]]&lt;&gt;"",(emp_db[[#This Row],[Exit Date]]-emp_db[[#This Row],[Column1]])/365,IF(emp_db[[#This Row],[ID]]&lt;&gt;"",(TODAY()-emp_db[[#This Row],[Column1]])/365,""))</f>
        <v/>
      </c>
      <c r="R680" s="42" t="str">
        <f ca="1">IF(emp_db[[#This Row],[Date of Birth]]&lt;&gt;"",(TODAY()-emp_db[[#This Row],[Date of Birth]])/365,"")</f>
        <v/>
      </c>
      <c r="S680" s="42">
        <f>YEAR(emp_db[[#This Row],[Column1]])</f>
        <v>1900</v>
      </c>
      <c r="T680" s="42">
        <f>MONTH(emp_db[[#This Row],[Column1]])</f>
        <v>1</v>
      </c>
      <c r="U680" s="42">
        <f>IFERROR(YEAR(emp_db[[#This Row],[Exit Date]]),"")</f>
        <v>1900</v>
      </c>
      <c r="V680" s="42">
        <f>IFERROR(MONTH(emp_db[[#This Row],[Exit Date]]),"")</f>
        <v>1</v>
      </c>
    </row>
    <row r="681" spans="2:22">
      <c r="B681" s="39"/>
      <c r="C681" s="39"/>
      <c r="D681" s="39"/>
      <c r="E681" s="39"/>
      <c r="F681" s="40"/>
      <c r="G681" s="38"/>
      <c r="H681" s="43"/>
      <c r="I681" s="43"/>
      <c r="J681" s="39"/>
      <c r="K681" s="38"/>
      <c r="L681" s="39"/>
      <c r="M681" s="39"/>
      <c r="N681" s="43"/>
      <c r="O681" s="38"/>
      <c r="P681" s="38"/>
      <c r="Q681" s="41" t="str">
        <f ca="1">IF(emp_db[[#This Row],[Exit Date]]&lt;&gt;"",(emp_db[[#This Row],[Exit Date]]-emp_db[[#This Row],[Column1]])/365,IF(emp_db[[#This Row],[ID]]&lt;&gt;"",(TODAY()-emp_db[[#This Row],[Column1]])/365,""))</f>
        <v/>
      </c>
      <c r="R681" s="42" t="str">
        <f ca="1">IF(emp_db[[#This Row],[Date of Birth]]&lt;&gt;"",(TODAY()-emp_db[[#This Row],[Date of Birth]])/365,"")</f>
        <v/>
      </c>
      <c r="S681" s="42">
        <f>YEAR(emp_db[[#This Row],[Column1]])</f>
        <v>1900</v>
      </c>
      <c r="T681" s="42">
        <f>MONTH(emp_db[[#This Row],[Column1]])</f>
        <v>1</v>
      </c>
      <c r="U681" s="42">
        <f>IFERROR(YEAR(emp_db[[#This Row],[Exit Date]]),"")</f>
        <v>1900</v>
      </c>
      <c r="V681" s="42">
        <f>IFERROR(MONTH(emp_db[[#This Row],[Exit Date]]),"")</f>
        <v>1</v>
      </c>
    </row>
    <row r="682" spans="2:22">
      <c r="B682" s="39"/>
      <c r="C682" s="39"/>
      <c r="D682" s="39"/>
      <c r="E682" s="39"/>
      <c r="F682" s="40"/>
      <c r="G682" s="38"/>
      <c r="H682" s="43"/>
      <c r="I682" s="43"/>
      <c r="J682" s="39"/>
      <c r="K682" s="38"/>
      <c r="L682" s="39"/>
      <c r="M682" s="39"/>
      <c r="N682" s="43"/>
      <c r="O682" s="38"/>
      <c r="P682" s="38"/>
      <c r="Q682" s="41" t="str">
        <f ca="1">IF(emp_db[[#This Row],[Exit Date]]&lt;&gt;"",(emp_db[[#This Row],[Exit Date]]-emp_db[[#This Row],[Column1]])/365,IF(emp_db[[#This Row],[ID]]&lt;&gt;"",(TODAY()-emp_db[[#This Row],[Column1]])/365,""))</f>
        <v/>
      </c>
      <c r="R682" s="42" t="str">
        <f ca="1">IF(emp_db[[#This Row],[Date of Birth]]&lt;&gt;"",(TODAY()-emp_db[[#This Row],[Date of Birth]])/365,"")</f>
        <v/>
      </c>
      <c r="S682" s="42">
        <f>YEAR(emp_db[[#This Row],[Column1]])</f>
        <v>1900</v>
      </c>
      <c r="T682" s="42">
        <f>MONTH(emp_db[[#This Row],[Column1]])</f>
        <v>1</v>
      </c>
      <c r="U682" s="42">
        <f>IFERROR(YEAR(emp_db[[#This Row],[Exit Date]]),"")</f>
        <v>1900</v>
      </c>
      <c r="V682" s="42">
        <f>IFERROR(MONTH(emp_db[[#This Row],[Exit Date]]),"")</f>
        <v>1</v>
      </c>
    </row>
    <row r="683" spans="2:22">
      <c r="B683" s="39"/>
      <c r="C683" s="39"/>
      <c r="D683" s="39"/>
      <c r="E683" s="39"/>
      <c r="F683" s="40"/>
      <c r="G683" s="38"/>
      <c r="H683" s="43"/>
      <c r="I683" s="43"/>
      <c r="J683" s="39"/>
      <c r="K683" s="38"/>
      <c r="L683" s="39"/>
      <c r="M683" s="39"/>
      <c r="N683" s="43"/>
      <c r="O683" s="38"/>
      <c r="P683" s="38"/>
      <c r="Q683" s="41" t="str">
        <f ca="1">IF(emp_db[[#This Row],[Exit Date]]&lt;&gt;"",(emp_db[[#This Row],[Exit Date]]-emp_db[[#This Row],[Column1]])/365,IF(emp_db[[#This Row],[ID]]&lt;&gt;"",(TODAY()-emp_db[[#This Row],[Column1]])/365,""))</f>
        <v/>
      </c>
      <c r="R683" s="42" t="str">
        <f ca="1">IF(emp_db[[#This Row],[Date of Birth]]&lt;&gt;"",(TODAY()-emp_db[[#This Row],[Date of Birth]])/365,"")</f>
        <v/>
      </c>
      <c r="S683" s="42">
        <f>YEAR(emp_db[[#This Row],[Column1]])</f>
        <v>1900</v>
      </c>
      <c r="T683" s="42">
        <f>MONTH(emp_db[[#This Row],[Column1]])</f>
        <v>1</v>
      </c>
      <c r="U683" s="42">
        <f>IFERROR(YEAR(emp_db[[#This Row],[Exit Date]]),"")</f>
        <v>1900</v>
      </c>
      <c r="V683" s="42">
        <f>IFERROR(MONTH(emp_db[[#This Row],[Exit Date]]),"")</f>
        <v>1</v>
      </c>
    </row>
    <row r="684" spans="2:22">
      <c r="B684" s="39"/>
      <c r="C684" s="39"/>
      <c r="D684" s="39"/>
      <c r="E684" s="39"/>
      <c r="F684" s="40"/>
      <c r="G684" s="38"/>
      <c r="H684" s="43"/>
      <c r="I684" s="43"/>
      <c r="J684" s="39"/>
      <c r="K684" s="38"/>
      <c r="L684" s="39"/>
      <c r="M684" s="39"/>
      <c r="N684" s="43"/>
      <c r="O684" s="38"/>
      <c r="P684" s="38"/>
      <c r="Q684" s="41" t="str">
        <f ca="1">IF(emp_db[[#This Row],[Exit Date]]&lt;&gt;"",(emp_db[[#This Row],[Exit Date]]-emp_db[[#This Row],[Column1]])/365,IF(emp_db[[#This Row],[ID]]&lt;&gt;"",(TODAY()-emp_db[[#This Row],[Column1]])/365,""))</f>
        <v/>
      </c>
      <c r="R684" s="42" t="str">
        <f ca="1">IF(emp_db[[#This Row],[Date of Birth]]&lt;&gt;"",(TODAY()-emp_db[[#This Row],[Date of Birth]])/365,"")</f>
        <v/>
      </c>
      <c r="S684" s="42">
        <f>YEAR(emp_db[[#This Row],[Column1]])</f>
        <v>1900</v>
      </c>
      <c r="T684" s="42">
        <f>MONTH(emp_db[[#This Row],[Column1]])</f>
        <v>1</v>
      </c>
      <c r="U684" s="42">
        <f>IFERROR(YEAR(emp_db[[#This Row],[Exit Date]]),"")</f>
        <v>1900</v>
      </c>
      <c r="V684" s="42">
        <f>IFERROR(MONTH(emp_db[[#This Row],[Exit Date]]),"")</f>
        <v>1</v>
      </c>
    </row>
    <row r="685" spans="2:22">
      <c r="B685" s="39"/>
      <c r="C685" s="39"/>
      <c r="D685" s="39"/>
      <c r="E685" s="39"/>
      <c r="F685" s="40"/>
      <c r="G685" s="38"/>
      <c r="H685" s="43"/>
      <c r="I685" s="43"/>
      <c r="J685" s="39"/>
      <c r="K685" s="38"/>
      <c r="L685" s="39"/>
      <c r="M685" s="39"/>
      <c r="N685" s="43"/>
      <c r="O685" s="38"/>
      <c r="P685" s="38"/>
      <c r="Q685" s="41" t="str">
        <f ca="1">IF(emp_db[[#This Row],[Exit Date]]&lt;&gt;"",(emp_db[[#This Row],[Exit Date]]-emp_db[[#This Row],[Column1]])/365,IF(emp_db[[#This Row],[ID]]&lt;&gt;"",(TODAY()-emp_db[[#This Row],[Column1]])/365,""))</f>
        <v/>
      </c>
      <c r="R685" s="42" t="str">
        <f ca="1">IF(emp_db[[#This Row],[Date of Birth]]&lt;&gt;"",(TODAY()-emp_db[[#This Row],[Date of Birth]])/365,"")</f>
        <v/>
      </c>
      <c r="S685" s="42">
        <f>YEAR(emp_db[[#This Row],[Column1]])</f>
        <v>1900</v>
      </c>
      <c r="T685" s="42">
        <f>MONTH(emp_db[[#This Row],[Column1]])</f>
        <v>1</v>
      </c>
      <c r="U685" s="42">
        <f>IFERROR(YEAR(emp_db[[#This Row],[Exit Date]]),"")</f>
        <v>1900</v>
      </c>
      <c r="V685" s="42">
        <f>IFERROR(MONTH(emp_db[[#This Row],[Exit Date]]),"")</f>
        <v>1</v>
      </c>
    </row>
    <row r="686" spans="2:22">
      <c r="B686" s="39"/>
      <c r="C686" s="39"/>
      <c r="D686" s="39"/>
      <c r="E686" s="39"/>
      <c r="F686" s="40"/>
      <c r="G686" s="38"/>
      <c r="H686" s="43"/>
      <c r="I686" s="43"/>
      <c r="J686" s="39"/>
      <c r="K686" s="38"/>
      <c r="L686" s="39"/>
      <c r="M686" s="39"/>
      <c r="N686" s="43"/>
      <c r="O686" s="38"/>
      <c r="P686" s="38"/>
      <c r="Q686" s="41" t="str">
        <f ca="1">IF(emp_db[[#This Row],[Exit Date]]&lt;&gt;"",(emp_db[[#This Row],[Exit Date]]-emp_db[[#This Row],[Column1]])/365,IF(emp_db[[#This Row],[ID]]&lt;&gt;"",(TODAY()-emp_db[[#This Row],[Column1]])/365,""))</f>
        <v/>
      </c>
      <c r="R686" s="42" t="str">
        <f ca="1">IF(emp_db[[#This Row],[Date of Birth]]&lt;&gt;"",(TODAY()-emp_db[[#This Row],[Date of Birth]])/365,"")</f>
        <v/>
      </c>
      <c r="S686" s="42">
        <f>YEAR(emp_db[[#This Row],[Column1]])</f>
        <v>1900</v>
      </c>
      <c r="T686" s="42">
        <f>MONTH(emp_db[[#This Row],[Column1]])</f>
        <v>1</v>
      </c>
      <c r="U686" s="42">
        <f>IFERROR(YEAR(emp_db[[#This Row],[Exit Date]]),"")</f>
        <v>1900</v>
      </c>
      <c r="V686" s="42">
        <f>IFERROR(MONTH(emp_db[[#This Row],[Exit Date]]),"")</f>
        <v>1</v>
      </c>
    </row>
    <row r="687" spans="2:22">
      <c r="B687" s="39"/>
      <c r="C687" s="39"/>
      <c r="D687" s="39"/>
      <c r="E687" s="39"/>
      <c r="F687" s="40"/>
      <c r="G687" s="38"/>
      <c r="H687" s="43"/>
      <c r="I687" s="43"/>
      <c r="J687" s="39"/>
      <c r="K687" s="38"/>
      <c r="L687" s="39"/>
      <c r="M687" s="39"/>
      <c r="N687" s="43"/>
      <c r="O687" s="38"/>
      <c r="P687" s="38"/>
      <c r="Q687" s="41" t="str">
        <f ca="1">IF(emp_db[[#This Row],[Exit Date]]&lt;&gt;"",(emp_db[[#This Row],[Exit Date]]-emp_db[[#This Row],[Column1]])/365,IF(emp_db[[#This Row],[ID]]&lt;&gt;"",(TODAY()-emp_db[[#This Row],[Column1]])/365,""))</f>
        <v/>
      </c>
      <c r="R687" s="42" t="str">
        <f ca="1">IF(emp_db[[#This Row],[Date of Birth]]&lt;&gt;"",(TODAY()-emp_db[[#This Row],[Date of Birth]])/365,"")</f>
        <v/>
      </c>
      <c r="S687" s="42">
        <f>YEAR(emp_db[[#This Row],[Column1]])</f>
        <v>1900</v>
      </c>
      <c r="T687" s="42">
        <f>MONTH(emp_db[[#This Row],[Column1]])</f>
        <v>1</v>
      </c>
      <c r="U687" s="42">
        <f>IFERROR(YEAR(emp_db[[#This Row],[Exit Date]]),"")</f>
        <v>1900</v>
      </c>
      <c r="V687" s="42">
        <f>IFERROR(MONTH(emp_db[[#This Row],[Exit Date]]),"")</f>
        <v>1</v>
      </c>
    </row>
    <row r="688" spans="2:22">
      <c r="B688" s="39"/>
      <c r="C688" s="39"/>
      <c r="D688" s="39"/>
      <c r="E688" s="39"/>
      <c r="F688" s="40"/>
      <c r="G688" s="38"/>
      <c r="H688" s="43"/>
      <c r="I688" s="43"/>
      <c r="J688" s="39"/>
      <c r="K688" s="38"/>
      <c r="L688" s="39"/>
      <c r="M688" s="39"/>
      <c r="N688" s="43"/>
      <c r="O688" s="38"/>
      <c r="P688" s="38"/>
      <c r="Q688" s="41" t="str">
        <f ca="1">IF(emp_db[[#This Row],[Exit Date]]&lt;&gt;"",(emp_db[[#This Row],[Exit Date]]-emp_db[[#This Row],[Column1]])/365,IF(emp_db[[#This Row],[ID]]&lt;&gt;"",(TODAY()-emp_db[[#This Row],[Column1]])/365,""))</f>
        <v/>
      </c>
      <c r="R688" s="42" t="str">
        <f ca="1">IF(emp_db[[#This Row],[Date of Birth]]&lt;&gt;"",(TODAY()-emp_db[[#This Row],[Date of Birth]])/365,"")</f>
        <v/>
      </c>
      <c r="S688" s="42">
        <f>YEAR(emp_db[[#This Row],[Column1]])</f>
        <v>1900</v>
      </c>
      <c r="T688" s="42">
        <f>MONTH(emp_db[[#This Row],[Column1]])</f>
        <v>1</v>
      </c>
      <c r="U688" s="42">
        <f>IFERROR(YEAR(emp_db[[#This Row],[Exit Date]]),"")</f>
        <v>1900</v>
      </c>
      <c r="V688" s="42">
        <f>IFERROR(MONTH(emp_db[[#This Row],[Exit Date]]),"")</f>
        <v>1</v>
      </c>
    </row>
    <row r="689" spans="2:22">
      <c r="B689" s="39"/>
      <c r="C689" s="39"/>
      <c r="D689" s="39"/>
      <c r="E689" s="39"/>
      <c r="F689" s="40"/>
      <c r="G689" s="38"/>
      <c r="H689" s="43"/>
      <c r="I689" s="43"/>
      <c r="J689" s="39"/>
      <c r="K689" s="38"/>
      <c r="L689" s="39"/>
      <c r="M689" s="39"/>
      <c r="N689" s="43"/>
      <c r="O689" s="38"/>
      <c r="P689" s="38"/>
      <c r="Q689" s="41" t="str">
        <f ca="1">IF(emp_db[[#This Row],[Exit Date]]&lt;&gt;"",(emp_db[[#This Row],[Exit Date]]-emp_db[[#This Row],[Column1]])/365,IF(emp_db[[#This Row],[ID]]&lt;&gt;"",(TODAY()-emp_db[[#This Row],[Column1]])/365,""))</f>
        <v/>
      </c>
      <c r="R689" s="42" t="str">
        <f ca="1">IF(emp_db[[#This Row],[Date of Birth]]&lt;&gt;"",(TODAY()-emp_db[[#This Row],[Date of Birth]])/365,"")</f>
        <v/>
      </c>
      <c r="S689" s="42">
        <f>YEAR(emp_db[[#This Row],[Column1]])</f>
        <v>1900</v>
      </c>
      <c r="T689" s="42">
        <f>MONTH(emp_db[[#This Row],[Column1]])</f>
        <v>1</v>
      </c>
      <c r="U689" s="42">
        <f>IFERROR(YEAR(emp_db[[#This Row],[Exit Date]]),"")</f>
        <v>1900</v>
      </c>
      <c r="V689" s="42">
        <f>IFERROR(MONTH(emp_db[[#This Row],[Exit Date]]),"")</f>
        <v>1</v>
      </c>
    </row>
    <row r="690" spans="2:22">
      <c r="B690" s="39"/>
      <c r="C690" s="39"/>
      <c r="D690" s="39"/>
      <c r="E690" s="39"/>
      <c r="F690" s="40"/>
      <c r="G690" s="38"/>
      <c r="H690" s="43"/>
      <c r="I690" s="43"/>
      <c r="J690" s="39"/>
      <c r="K690" s="38"/>
      <c r="L690" s="39"/>
      <c r="M690" s="39"/>
      <c r="N690" s="43"/>
      <c r="O690" s="38"/>
      <c r="P690" s="38"/>
      <c r="Q690" s="41" t="str">
        <f ca="1">IF(emp_db[[#This Row],[Exit Date]]&lt;&gt;"",(emp_db[[#This Row],[Exit Date]]-emp_db[[#This Row],[Column1]])/365,IF(emp_db[[#This Row],[ID]]&lt;&gt;"",(TODAY()-emp_db[[#This Row],[Column1]])/365,""))</f>
        <v/>
      </c>
      <c r="R690" s="42" t="str">
        <f ca="1">IF(emp_db[[#This Row],[Date of Birth]]&lt;&gt;"",(TODAY()-emp_db[[#This Row],[Date of Birth]])/365,"")</f>
        <v/>
      </c>
      <c r="S690" s="42">
        <f>YEAR(emp_db[[#This Row],[Column1]])</f>
        <v>1900</v>
      </c>
      <c r="T690" s="42">
        <f>MONTH(emp_db[[#This Row],[Column1]])</f>
        <v>1</v>
      </c>
      <c r="U690" s="42">
        <f>IFERROR(YEAR(emp_db[[#This Row],[Exit Date]]),"")</f>
        <v>1900</v>
      </c>
      <c r="V690" s="42">
        <f>IFERROR(MONTH(emp_db[[#This Row],[Exit Date]]),"")</f>
        <v>1</v>
      </c>
    </row>
    <row r="691" spans="2:22">
      <c r="B691" s="39"/>
      <c r="C691" s="39"/>
      <c r="D691" s="39"/>
      <c r="E691" s="39"/>
      <c r="F691" s="40"/>
      <c r="G691" s="38"/>
      <c r="H691" s="43"/>
      <c r="I691" s="43"/>
      <c r="J691" s="39"/>
      <c r="K691" s="38"/>
      <c r="L691" s="39"/>
      <c r="M691" s="39"/>
      <c r="N691" s="43"/>
      <c r="O691" s="38"/>
      <c r="P691" s="38"/>
      <c r="Q691" s="41" t="str">
        <f ca="1">IF(emp_db[[#This Row],[Exit Date]]&lt;&gt;"",(emp_db[[#This Row],[Exit Date]]-emp_db[[#This Row],[Column1]])/365,IF(emp_db[[#This Row],[ID]]&lt;&gt;"",(TODAY()-emp_db[[#This Row],[Column1]])/365,""))</f>
        <v/>
      </c>
      <c r="R691" s="42" t="str">
        <f ca="1">IF(emp_db[[#This Row],[Date of Birth]]&lt;&gt;"",(TODAY()-emp_db[[#This Row],[Date of Birth]])/365,"")</f>
        <v/>
      </c>
      <c r="S691" s="42">
        <f>YEAR(emp_db[[#This Row],[Column1]])</f>
        <v>1900</v>
      </c>
      <c r="T691" s="42">
        <f>MONTH(emp_db[[#This Row],[Column1]])</f>
        <v>1</v>
      </c>
      <c r="U691" s="42">
        <f>IFERROR(YEAR(emp_db[[#This Row],[Exit Date]]),"")</f>
        <v>1900</v>
      </c>
      <c r="V691" s="42">
        <f>IFERROR(MONTH(emp_db[[#This Row],[Exit Date]]),"")</f>
        <v>1</v>
      </c>
    </row>
    <row r="692" spans="2:22">
      <c r="B692" s="39"/>
      <c r="C692" s="39"/>
      <c r="D692" s="39"/>
      <c r="E692" s="39"/>
      <c r="F692" s="40"/>
      <c r="G692" s="38"/>
      <c r="H692" s="43"/>
      <c r="I692" s="43"/>
      <c r="J692" s="39"/>
      <c r="K692" s="38"/>
      <c r="L692" s="39"/>
      <c r="M692" s="39"/>
      <c r="N692" s="43"/>
      <c r="O692" s="38"/>
      <c r="P692" s="38"/>
      <c r="Q692" s="41" t="str">
        <f ca="1">IF(emp_db[[#This Row],[Exit Date]]&lt;&gt;"",(emp_db[[#This Row],[Exit Date]]-emp_db[[#This Row],[Column1]])/365,IF(emp_db[[#This Row],[ID]]&lt;&gt;"",(TODAY()-emp_db[[#This Row],[Column1]])/365,""))</f>
        <v/>
      </c>
      <c r="R692" s="42" t="str">
        <f ca="1">IF(emp_db[[#This Row],[Date of Birth]]&lt;&gt;"",(TODAY()-emp_db[[#This Row],[Date of Birth]])/365,"")</f>
        <v/>
      </c>
      <c r="S692" s="42">
        <f>YEAR(emp_db[[#This Row],[Column1]])</f>
        <v>1900</v>
      </c>
      <c r="T692" s="42">
        <f>MONTH(emp_db[[#This Row],[Column1]])</f>
        <v>1</v>
      </c>
      <c r="U692" s="42">
        <f>IFERROR(YEAR(emp_db[[#This Row],[Exit Date]]),"")</f>
        <v>1900</v>
      </c>
      <c r="V692" s="42">
        <f>IFERROR(MONTH(emp_db[[#This Row],[Exit Date]]),"")</f>
        <v>1</v>
      </c>
    </row>
    <row r="693" spans="2:22">
      <c r="B693" s="39"/>
      <c r="C693" s="39"/>
      <c r="D693" s="39"/>
      <c r="E693" s="39"/>
      <c r="F693" s="40"/>
      <c r="G693" s="38"/>
      <c r="H693" s="43"/>
      <c r="I693" s="43"/>
      <c r="J693" s="39"/>
      <c r="K693" s="38"/>
      <c r="L693" s="39"/>
      <c r="M693" s="39"/>
      <c r="N693" s="43"/>
      <c r="O693" s="38"/>
      <c r="P693" s="38"/>
      <c r="Q693" s="41" t="str">
        <f ca="1">IF(emp_db[[#This Row],[Exit Date]]&lt;&gt;"",(emp_db[[#This Row],[Exit Date]]-emp_db[[#This Row],[Column1]])/365,IF(emp_db[[#This Row],[ID]]&lt;&gt;"",(TODAY()-emp_db[[#This Row],[Column1]])/365,""))</f>
        <v/>
      </c>
      <c r="R693" s="42" t="str">
        <f ca="1">IF(emp_db[[#This Row],[Date of Birth]]&lt;&gt;"",(TODAY()-emp_db[[#This Row],[Date of Birth]])/365,"")</f>
        <v/>
      </c>
      <c r="S693" s="42">
        <f>YEAR(emp_db[[#This Row],[Column1]])</f>
        <v>1900</v>
      </c>
      <c r="T693" s="42">
        <f>MONTH(emp_db[[#This Row],[Column1]])</f>
        <v>1</v>
      </c>
      <c r="U693" s="42">
        <f>IFERROR(YEAR(emp_db[[#This Row],[Exit Date]]),"")</f>
        <v>1900</v>
      </c>
      <c r="V693" s="42">
        <f>IFERROR(MONTH(emp_db[[#This Row],[Exit Date]]),"")</f>
        <v>1</v>
      </c>
    </row>
    <row r="694" spans="2:22">
      <c r="B694" s="39"/>
      <c r="C694" s="39"/>
      <c r="D694" s="39"/>
      <c r="E694" s="39"/>
      <c r="F694" s="40"/>
      <c r="G694" s="38"/>
      <c r="H694" s="43"/>
      <c r="I694" s="43"/>
      <c r="J694" s="39"/>
      <c r="K694" s="38"/>
      <c r="L694" s="39"/>
      <c r="M694" s="39"/>
      <c r="N694" s="43"/>
      <c r="O694" s="38"/>
      <c r="P694" s="38"/>
      <c r="Q694" s="41" t="str">
        <f ca="1">IF(emp_db[[#This Row],[Exit Date]]&lt;&gt;"",(emp_db[[#This Row],[Exit Date]]-emp_db[[#This Row],[Column1]])/365,IF(emp_db[[#This Row],[ID]]&lt;&gt;"",(TODAY()-emp_db[[#This Row],[Column1]])/365,""))</f>
        <v/>
      </c>
      <c r="R694" s="42" t="str">
        <f ca="1">IF(emp_db[[#This Row],[Date of Birth]]&lt;&gt;"",(TODAY()-emp_db[[#This Row],[Date of Birth]])/365,"")</f>
        <v/>
      </c>
      <c r="S694" s="42">
        <f>YEAR(emp_db[[#This Row],[Column1]])</f>
        <v>1900</v>
      </c>
      <c r="T694" s="42">
        <f>MONTH(emp_db[[#This Row],[Column1]])</f>
        <v>1</v>
      </c>
      <c r="U694" s="42">
        <f>IFERROR(YEAR(emp_db[[#This Row],[Exit Date]]),"")</f>
        <v>1900</v>
      </c>
      <c r="V694" s="42">
        <f>IFERROR(MONTH(emp_db[[#This Row],[Exit Date]]),"")</f>
        <v>1</v>
      </c>
    </row>
    <row r="695" spans="2:22">
      <c r="B695" s="39"/>
      <c r="C695" s="39"/>
      <c r="D695" s="39"/>
      <c r="E695" s="39"/>
      <c r="F695" s="40"/>
      <c r="G695" s="38"/>
      <c r="H695" s="43"/>
      <c r="I695" s="43"/>
      <c r="J695" s="39"/>
      <c r="K695" s="38"/>
      <c r="L695" s="39"/>
      <c r="M695" s="39"/>
      <c r="N695" s="43"/>
      <c r="O695" s="38"/>
      <c r="P695" s="38"/>
      <c r="Q695" s="41" t="str">
        <f ca="1">IF(emp_db[[#This Row],[Exit Date]]&lt;&gt;"",(emp_db[[#This Row],[Exit Date]]-emp_db[[#This Row],[Column1]])/365,IF(emp_db[[#This Row],[ID]]&lt;&gt;"",(TODAY()-emp_db[[#This Row],[Column1]])/365,""))</f>
        <v/>
      </c>
      <c r="R695" s="42" t="str">
        <f ca="1">IF(emp_db[[#This Row],[Date of Birth]]&lt;&gt;"",(TODAY()-emp_db[[#This Row],[Date of Birth]])/365,"")</f>
        <v/>
      </c>
      <c r="S695" s="42">
        <f>YEAR(emp_db[[#This Row],[Column1]])</f>
        <v>1900</v>
      </c>
      <c r="T695" s="42">
        <f>MONTH(emp_db[[#This Row],[Column1]])</f>
        <v>1</v>
      </c>
      <c r="U695" s="42">
        <f>IFERROR(YEAR(emp_db[[#This Row],[Exit Date]]),"")</f>
        <v>1900</v>
      </c>
      <c r="V695" s="42">
        <f>IFERROR(MONTH(emp_db[[#This Row],[Exit Date]]),"")</f>
        <v>1</v>
      </c>
    </row>
    <row r="696" spans="2:22">
      <c r="B696" s="39"/>
      <c r="C696" s="39"/>
      <c r="D696" s="39"/>
      <c r="E696" s="39"/>
      <c r="F696" s="40"/>
      <c r="G696" s="38"/>
      <c r="H696" s="43"/>
      <c r="I696" s="43"/>
      <c r="J696" s="39"/>
      <c r="K696" s="38"/>
      <c r="L696" s="39"/>
      <c r="M696" s="39"/>
      <c r="N696" s="43"/>
      <c r="O696" s="38"/>
      <c r="P696" s="38"/>
      <c r="Q696" s="41" t="str">
        <f ca="1">IF(emp_db[[#This Row],[Exit Date]]&lt;&gt;"",(emp_db[[#This Row],[Exit Date]]-emp_db[[#This Row],[Column1]])/365,IF(emp_db[[#This Row],[ID]]&lt;&gt;"",(TODAY()-emp_db[[#This Row],[Column1]])/365,""))</f>
        <v/>
      </c>
      <c r="R696" s="42" t="str">
        <f ca="1">IF(emp_db[[#This Row],[Date of Birth]]&lt;&gt;"",(TODAY()-emp_db[[#This Row],[Date of Birth]])/365,"")</f>
        <v/>
      </c>
      <c r="S696" s="42">
        <f>YEAR(emp_db[[#This Row],[Column1]])</f>
        <v>1900</v>
      </c>
      <c r="T696" s="42">
        <f>MONTH(emp_db[[#This Row],[Column1]])</f>
        <v>1</v>
      </c>
      <c r="U696" s="42">
        <f>IFERROR(YEAR(emp_db[[#This Row],[Exit Date]]),"")</f>
        <v>1900</v>
      </c>
      <c r="V696" s="42">
        <f>IFERROR(MONTH(emp_db[[#This Row],[Exit Date]]),"")</f>
        <v>1</v>
      </c>
    </row>
    <row r="697" spans="2:22">
      <c r="B697" s="39"/>
      <c r="C697" s="39"/>
      <c r="D697" s="39"/>
      <c r="E697" s="39"/>
      <c r="F697" s="40"/>
      <c r="G697" s="38"/>
      <c r="H697" s="43"/>
      <c r="I697" s="43"/>
      <c r="J697" s="39"/>
      <c r="K697" s="38"/>
      <c r="L697" s="39"/>
      <c r="M697" s="39"/>
      <c r="N697" s="43"/>
      <c r="O697" s="38"/>
      <c r="P697" s="38"/>
      <c r="Q697" s="41" t="str">
        <f ca="1">IF(emp_db[[#This Row],[Exit Date]]&lt;&gt;"",(emp_db[[#This Row],[Exit Date]]-emp_db[[#This Row],[Column1]])/365,IF(emp_db[[#This Row],[ID]]&lt;&gt;"",(TODAY()-emp_db[[#This Row],[Column1]])/365,""))</f>
        <v/>
      </c>
      <c r="R697" s="42" t="str">
        <f ca="1">IF(emp_db[[#This Row],[Date of Birth]]&lt;&gt;"",(TODAY()-emp_db[[#This Row],[Date of Birth]])/365,"")</f>
        <v/>
      </c>
      <c r="S697" s="42">
        <f>YEAR(emp_db[[#This Row],[Column1]])</f>
        <v>1900</v>
      </c>
      <c r="T697" s="42">
        <f>MONTH(emp_db[[#This Row],[Column1]])</f>
        <v>1</v>
      </c>
      <c r="U697" s="42">
        <f>IFERROR(YEAR(emp_db[[#This Row],[Exit Date]]),"")</f>
        <v>1900</v>
      </c>
      <c r="V697" s="42">
        <f>IFERROR(MONTH(emp_db[[#This Row],[Exit Date]]),"")</f>
        <v>1</v>
      </c>
    </row>
    <row r="698" spans="2:22">
      <c r="B698" s="39"/>
      <c r="C698" s="39"/>
      <c r="D698" s="39"/>
      <c r="E698" s="39"/>
      <c r="F698" s="40"/>
      <c r="G698" s="38"/>
      <c r="H698" s="43"/>
      <c r="I698" s="43"/>
      <c r="J698" s="39"/>
      <c r="K698" s="38"/>
      <c r="L698" s="39"/>
      <c r="M698" s="39"/>
      <c r="N698" s="43"/>
      <c r="O698" s="38"/>
      <c r="P698" s="38"/>
      <c r="Q698" s="41" t="str">
        <f ca="1">IF(emp_db[[#This Row],[Exit Date]]&lt;&gt;"",(emp_db[[#This Row],[Exit Date]]-emp_db[[#This Row],[Column1]])/365,IF(emp_db[[#This Row],[ID]]&lt;&gt;"",(TODAY()-emp_db[[#This Row],[Column1]])/365,""))</f>
        <v/>
      </c>
      <c r="R698" s="42" t="str">
        <f ca="1">IF(emp_db[[#This Row],[Date of Birth]]&lt;&gt;"",(TODAY()-emp_db[[#This Row],[Date of Birth]])/365,"")</f>
        <v/>
      </c>
      <c r="S698" s="42">
        <f>YEAR(emp_db[[#This Row],[Column1]])</f>
        <v>1900</v>
      </c>
      <c r="T698" s="42">
        <f>MONTH(emp_db[[#This Row],[Column1]])</f>
        <v>1</v>
      </c>
      <c r="U698" s="42">
        <f>IFERROR(YEAR(emp_db[[#This Row],[Exit Date]]),"")</f>
        <v>1900</v>
      </c>
      <c r="V698" s="42">
        <f>IFERROR(MONTH(emp_db[[#This Row],[Exit Date]]),"")</f>
        <v>1</v>
      </c>
    </row>
    <row r="699" spans="2:22">
      <c r="B699" s="39"/>
      <c r="C699" s="39"/>
      <c r="D699" s="39"/>
      <c r="E699" s="39"/>
      <c r="F699" s="40"/>
      <c r="G699" s="38"/>
      <c r="H699" s="43"/>
      <c r="I699" s="43"/>
      <c r="J699" s="39"/>
      <c r="K699" s="38"/>
      <c r="L699" s="39"/>
      <c r="M699" s="39"/>
      <c r="N699" s="43"/>
      <c r="O699" s="38"/>
      <c r="P699" s="38"/>
      <c r="Q699" s="41" t="str">
        <f ca="1">IF(emp_db[[#This Row],[Exit Date]]&lt;&gt;"",(emp_db[[#This Row],[Exit Date]]-emp_db[[#This Row],[Column1]])/365,IF(emp_db[[#This Row],[ID]]&lt;&gt;"",(TODAY()-emp_db[[#This Row],[Column1]])/365,""))</f>
        <v/>
      </c>
      <c r="R699" s="42" t="str">
        <f ca="1">IF(emp_db[[#This Row],[Date of Birth]]&lt;&gt;"",(TODAY()-emp_db[[#This Row],[Date of Birth]])/365,"")</f>
        <v/>
      </c>
      <c r="S699" s="42">
        <f>YEAR(emp_db[[#This Row],[Column1]])</f>
        <v>1900</v>
      </c>
      <c r="T699" s="42">
        <f>MONTH(emp_db[[#This Row],[Column1]])</f>
        <v>1</v>
      </c>
      <c r="U699" s="42">
        <f>IFERROR(YEAR(emp_db[[#This Row],[Exit Date]]),"")</f>
        <v>1900</v>
      </c>
      <c r="V699" s="42">
        <f>IFERROR(MONTH(emp_db[[#This Row],[Exit Date]]),"")</f>
        <v>1</v>
      </c>
    </row>
    <row r="700" spans="2:22">
      <c r="B700" s="39"/>
      <c r="C700" s="39"/>
      <c r="D700" s="39"/>
      <c r="E700" s="39"/>
      <c r="F700" s="40"/>
      <c r="G700" s="38"/>
      <c r="H700" s="43"/>
      <c r="I700" s="43"/>
      <c r="J700" s="39"/>
      <c r="K700" s="38"/>
      <c r="L700" s="39"/>
      <c r="M700" s="39"/>
      <c r="N700" s="43"/>
      <c r="O700" s="38"/>
      <c r="P700" s="38"/>
      <c r="Q700" s="41" t="str">
        <f ca="1">IF(emp_db[[#This Row],[Exit Date]]&lt;&gt;"",(emp_db[[#This Row],[Exit Date]]-emp_db[[#This Row],[Column1]])/365,IF(emp_db[[#This Row],[ID]]&lt;&gt;"",(TODAY()-emp_db[[#This Row],[Column1]])/365,""))</f>
        <v/>
      </c>
      <c r="R700" s="42" t="str">
        <f ca="1">IF(emp_db[[#This Row],[Date of Birth]]&lt;&gt;"",(TODAY()-emp_db[[#This Row],[Date of Birth]])/365,"")</f>
        <v/>
      </c>
      <c r="S700" s="42">
        <f>YEAR(emp_db[[#This Row],[Column1]])</f>
        <v>1900</v>
      </c>
      <c r="T700" s="42">
        <f>MONTH(emp_db[[#This Row],[Column1]])</f>
        <v>1</v>
      </c>
      <c r="U700" s="42">
        <f>IFERROR(YEAR(emp_db[[#This Row],[Exit Date]]),"")</f>
        <v>1900</v>
      </c>
      <c r="V700" s="42">
        <f>IFERROR(MONTH(emp_db[[#This Row],[Exit Date]]),"")</f>
        <v>1</v>
      </c>
    </row>
    <row r="701" spans="2:22">
      <c r="B701" s="39"/>
      <c r="C701" s="39"/>
      <c r="D701" s="39"/>
      <c r="E701" s="39"/>
      <c r="F701" s="40"/>
      <c r="G701" s="38"/>
      <c r="H701" s="43"/>
      <c r="I701" s="43"/>
      <c r="J701" s="39"/>
      <c r="K701" s="38"/>
      <c r="L701" s="39"/>
      <c r="M701" s="39"/>
      <c r="N701" s="43"/>
      <c r="O701" s="38"/>
      <c r="P701" s="38"/>
      <c r="Q701" s="41" t="str">
        <f ca="1">IF(emp_db[[#This Row],[Exit Date]]&lt;&gt;"",(emp_db[[#This Row],[Exit Date]]-emp_db[[#This Row],[Column1]])/365,IF(emp_db[[#This Row],[ID]]&lt;&gt;"",(TODAY()-emp_db[[#This Row],[Column1]])/365,""))</f>
        <v/>
      </c>
      <c r="R701" s="42" t="str">
        <f ca="1">IF(emp_db[[#This Row],[Date of Birth]]&lt;&gt;"",(TODAY()-emp_db[[#This Row],[Date of Birth]])/365,"")</f>
        <v/>
      </c>
      <c r="S701" s="42">
        <f>YEAR(emp_db[[#This Row],[Column1]])</f>
        <v>1900</v>
      </c>
      <c r="T701" s="42">
        <f>MONTH(emp_db[[#This Row],[Column1]])</f>
        <v>1</v>
      </c>
      <c r="U701" s="42">
        <f>IFERROR(YEAR(emp_db[[#This Row],[Exit Date]]),"")</f>
        <v>1900</v>
      </c>
      <c r="V701" s="42">
        <f>IFERROR(MONTH(emp_db[[#This Row],[Exit Date]]),"")</f>
        <v>1</v>
      </c>
    </row>
    <row r="702" spans="2:22">
      <c r="B702" s="39"/>
      <c r="C702" s="39"/>
      <c r="D702" s="39"/>
      <c r="E702" s="39"/>
      <c r="F702" s="40"/>
      <c r="G702" s="38"/>
      <c r="H702" s="43"/>
      <c r="I702" s="43"/>
      <c r="J702" s="39"/>
      <c r="K702" s="38"/>
      <c r="L702" s="39"/>
      <c r="M702" s="39"/>
      <c r="N702" s="43"/>
      <c r="O702" s="38"/>
      <c r="P702" s="38"/>
      <c r="Q702" s="41" t="str">
        <f ca="1">IF(emp_db[[#This Row],[Exit Date]]&lt;&gt;"",(emp_db[[#This Row],[Exit Date]]-emp_db[[#This Row],[Column1]])/365,IF(emp_db[[#This Row],[ID]]&lt;&gt;"",(TODAY()-emp_db[[#This Row],[Column1]])/365,""))</f>
        <v/>
      </c>
      <c r="R702" s="42" t="str">
        <f ca="1">IF(emp_db[[#This Row],[Date of Birth]]&lt;&gt;"",(TODAY()-emp_db[[#This Row],[Date of Birth]])/365,"")</f>
        <v/>
      </c>
      <c r="S702" s="42">
        <f>YEAR(emp_db[[#This Row],[Column1]])</f>
        <v>1900</v>
      </c>
      <c r="T702" s="42">
        <f>MONTH(emp_db[[#This Row],[Column1]])</f>
        <v>1</v>
      </c>
      <c r="U702" s="42">
        <f>IFERROR(YEAR(emp_db[[#This Row],[Exit Date]]),"")</f>
        <v>1900</v>
      </c>
      <c r="V702" s="42">
        <f>IFERROR(MONTH(emp_db[[#This Row],[Exit Date]]),"")</f>
        <v>1</v>
      </c>
    </row>
    <row r="703" spans="2:22">
      <c r="B703" s="39"/>
      <c r="C703" s="39"/>
      <c r="D703" s="39"/>
      <c r="E703" s="39"/>
      <c r="F703" s="40"/>
      <c r="G703" s="38"/>
      <c r="H703" s="43"/>
      <c r="I703" s="43"/>
      <c r="J703" s="39"/>
      <c r="K703" s="38"/>
      <c r="L703" s="39"/>
      <c r="M703" s="39"/>
      <c r="N703" s="43"/>
      <c r="O703" s="38"/>
      <c r="P703" s="38"/>
      <c r="Q703" s="41" t="str">
        <f ca="1">IF(emp_db[[#This Row],[Exit Date]]&lt;&gt;"",(emp_db[[#This Row],[Exit Date]]-emp_db[[#This Row],[Column1]])/365,IF(emp_db[[#This Row],[ID]]&lt;&gt;"",(TODAY()-emp_db[[#This Row],[Column1]])/365,""))</f>
        <v/>
      </c>
      <c r="R703" s="42" t="str">
        <f ca="1">IF(emp_db[[#This Row],[Date of Birth]]&lt;&gt;"",(TODAY()-emp_db[[#This Row],[Date of Birth]])/365,"")</f>
        <v/>
      </c>
      <c r="S703" s="42">
        <f>YEAR(emp_db[[#This Row],[Column1]])</f>
        <v>1900</v>
      </c>
      <c r="T703" s="42">
        <f>MONTH(emp_db[[#This Row],[Column1]])</f>
        <v>1</v>
      </c>
      <c r="U703" s="42">
        <f>IFERROR(YEAR(emp_db[[#This Row],[Exit Date]]),"")</f>
        <v>1900</v>
      </c>
      <c r="V703" s="42">
        <f>IFERROR(MONTH(emp_db[[#This Row],[Exit Date]]),"")</f>
        <v>1</v>
      </c>
    </row>
    <row r="704" spans="2:22">
      <c r="B704" s="39"/>
      <c r="C704" s="39"/>
      <c r="D704" s="39"/>
      <c r="E704" s="39"/>
      <c r="F704" s="40"/>
      <c r="G704" s="38"/>
      <c r="H704" s="43"/>
      <c r="I704" s="43"/>
      <c r="J704" s="39"/>
      <c r="K704" s="38"/>
      <c r="L704" s="39"/>
      <c r="M704" s="39"/>
      <c r="N704" s="43"/>
      <c r="O704" s="38"/>
      <c r="P704" s="38"/>
      <c r="Q704" s="41" t="str">
        <f ca="1">IF(emp_db[[#This Row],[Exit Date]]&lt;&gt;"",(emp_db[[#This Row],[Exit Date]]-emp_db[[#This Row],[Column1]])/365,IF(emp_db[[#This Row],[ID]]&lt;&gt;"",(TODAY()-emp_db[[#This Row],[Column1]])/365,""))</f>
        <v/>
      </c>
      <c r="R704" s="42" t="str">
        <f ca="1">IF(emp_db[[#This Row],[Date of Birth]]&lt;&gt;"",(TODAY()-emp_db[[#This Row],[Date of Birth]])/365,"")</f>
        <v/>
      </c>
      <c r="S704" s="42">
        <f>YEAR(emp_db[[#This Row],[Column1]])</f>
        <v>1900</v>
      </c>
      <c r="T704" s="42">
        <f>MONTH(emp_db[[#This Row],[Column1]])</f>
        <v>1</v>
      </c>
      <c r="U704" s="42">
        <f>IFERROR(YEAR(emp_db[[#This Row],[Exit Date]]),"")</f>
        <v>1900</v>
      </c>
      <c r="V704" s="42">
        <f>IFERROR(MONTH(emp_db[[#This Row],[Exit Date]]),"")</f>
        <v>1</v>
      </c>
    </row>
    <row r="705" spans="2:22">
      <c r="B705" s="39"/>
      <c r="C705" s="39"/>
      <c r="D705" s="39"/>
      <c r="E705" s="39"/>
      <c r="F705" s="40"/>
      <c r="G705" s="38"/>
      <c r="H705" s="43"/>
      <c r="I705" s="43"/>
      <c r="J705" s="39"/>
      <c r="K705" s="38"/>
      <c r="L705" s="39"/>
      <c r="M705" s="39"/>
      <c r="N705" s="43"/>
      <c r="O705" s="38"/>
      <c r="P705" s="38"/>
      <c r="Q705" s="41" t="str">
        <f ca="1">IF(emp_db[[#This Row],[Exit Date]]&lt;&gt;"",(emp_db[[#This Row],[Exit Date]]-emp_db[[#This Row],[Column1]])/365,IF(emp_db[[#This Row],[ID]]&lt;&gt;"",(TODAY()-emp_db[[#This Row],[Column1]])/365,""))</f>
        <v/>
      </c>
      <c r="R705" s="42" t="str">
        <f ca="1">IF(emp_db[[#This Row],[Date of Birth]]&lt;&gt;"",(TODAY()-emp_db[[#This Row],[Date of Birth]])/365,"")</f>
        <v/>
      </c>
      <c r="S705" s="42">
        <f>YEAR(emp_db[[#This Row],[Column1]])</f>
        <v>1900</v>
      </c>
      <c r="T705" s="42">
        <f>MONTH(emp_db[[#This Row],[Column1]])</f>
        <v>1</v>
      </c>
      <c r="U705" s="42">
        <f>IFERROR(YEAR(emp_db[[#This Row],[Exit Date]]),"")</f>
        <v>1900</v>
      </c>
      <c r="V705" s="42">
        <f>IFERROR(MONTH(emp_db[[#This Row],[Exit Date]]),"")</f>
        <v>1</v>
      </c>
    </row>
    <row r="706" spans="2:22">
      <c r="B706" s="39"/>
      <c r="C706" s="39"/>
      <c r="D706" s="39"/>
      <c r="E706" s="39"/>
      <c r="F706" s="40"/>
      <c r="G706" s="38"/>
      <c r="H706" s="43"/>
      <c r="I706" s="43"/>
      <c r="J706" s="39"/>
      <c r="K706" s="38"/>
      <c r="L706" s="39"/>
      <c r="M706" s="39"/>
      <c r="N706" s="43"/>
      <c r="O706" s="38"/>
      <c r="P706" s="38"/>
      <c r="Q706" s="41" t="str">
        <f ca="1">IF(emp_db[[#This Row],[Exit Date]]&lt;&gt;"",(emp_db[[#This Row],[Exit Date]]-emp_db[[#This Row],[Column1]])/365,IF(emp_db[[#This Row],[ID]]&lt;&gt;"",(TODAY()-emp_db[[#This Row],[Column1]])/365,""))</f>
        <v/>
      </c>
      <c r="R706" s="42" t="str">
        <f ca="1">IF(emp_db[[#This Row],[Date of Birth]]&lt;&gt;"",(TODAY()-emp_db[[#This Row],[Date of Birth]])/365,"")</f>
        <v/>
      </c>
      <c r="S706" s="42">
        <f>YEAR(emp_db[[#This Row],[Column1]])</f>
        <v>1900</v>
      </c>
      <c r="T706" s="42">
        <f>MONTH(emp_db[[#This Row],[Column1]])</f>
        <v>1</v>
      </c>
      <c r="U706" s="42">
        <f>IFERROR(YEAR(emp_db[[#This Row],[Exit Date]]),"")</f>
        <v>1900</v>
      </c>
      <c r="V706" s="42">
        <f>IFERROR(MONTH(emp_db[[#This Row],[Exit Date]]),"")</f>
        <v>1</v>
      </c>
    </row>
    <row r="707" spans="2:22">
      <c r="B707" s="39"/>
      <c r="C707" s="39"/>
      <c r="D707" s="39"/>
      <c r="E707" s="39"/>
      <c r="F707" s="40"/>
      <c r="G707" s="38"/>
      <c r="H707" s="43"/>
      <c r="I707" s="43"/>
      <c r="J707" s="39"/>
      <c r="K707" s="38"/>
      <c r="L707" s="39"/>
      <c r="M707" s="39"/>
      <c r="N707" s="43"/>
      <c r="O707" s="38"/>
      <c r="P707" s="38"/>
      <c r="Q707" s="41" t="str">
        <f ca="1">IF(emp_db[[#This Row],[Exit Date]]&lt;&gt;"",(emp_db[[#This Row],[Exit Date]]-emp_db[[#This Row],[Column1]])/365,IF(emp_db[[#This Row],[ID]]&lt;&gt;"",(TODAY()-emp_db[[#This Row],[Column1]])/365,""))</f>
        <v/>
      </c>
      <c r="R707" s="42" t="str">
        <f ca="1">IF(emp_db[[#This Row],[Date of Birth]]&lt;&gt;"",(TODAY()-emp_db[[#This Row],[Date of Birth]])/365,"")</f>
        <v/>
      </c>
      <c r="S707" s="42">
        <f>YEAR(emp_db[[#This Row],[Column1]])</f>
        <v>1900</v>
      </c>
      <c r="T707" s="42">
        <f>MONTH(emp_db[[#This Row],[Column1]])</f>
        <v>1</v>
      </c>
      <c r="U707" s="42">
        <f>IFERROR(YEAR(emp_db[[#This Row],[Exit Date]]),"")</f>
        <v>1900</v>
      </c>
      <c r="V707" s="42">
        <f>IFERROR(MONTH(emp_db[[#This Row],[Exit Date]]),"")</f>
        <v>1</v>
      </c>
    </row>
    <row r="708" spans="2:22">
      <c r="B708" s="39"/>
      <c r="C708" s="39"/>
      <c r="D708" s="39"/>
      <c r="E708" s="39"/>
      <c r="F708" s="40"/>
      <c r="G708" s="38"/>
      <c r="H708" s="43"/>
      <c r="I708" s="43"/>
      <c r="J708" s="39"/>
      <c r="K708" s="38"/>
      <c r="L708" s="39"/>
      <c r="M708" s="39"/>
      <c r="N708" s="43"/>
      <c r="O708" s="38"/>
      <c r="P708" s="38"/>
      <c r="Q708" s="41" t="str">
        <f ca="1">IF(emp_db[[#This Row],[Exit Date]]&lt;&gt;"",(emp_db[[#This Row],[Exit Date]]-emp_db[[#This Row],[Column1]])/365,IF(emp_db[[#This Row],[ID]]&lt;&gt;"",(TODAY()-emp_db[[#This Row],[Column1]])/365,""))</f>
        <v/>
      </c>
      <c r="R708" s="42" t="str">
        <f ca="1">IF(emp_db[[#This Row],[Date of Birth]]&lt;&gt;"",(TODAY()-emp_db[[#This Row],[Date of Birth]])/365,"")</f>
        <v/>
      </c>
      <c r="S708" s="42">
        <f>YEAR(emp_db[[#This Row],[Column1]])</f>
        <v>1900</v>
      </c>
      <c r="T708" s="42">
        <f>MONTH(emp_db[[#This Row],[Column1]])</f>
        <v>1</v>
      </c>
      <c r="U708" s="42">
        <f>IFERROR(YEAR(emp_db[[#This Row],[Exit Date]]),"")</f>
        <v>1900</v>
      </c>
      <c r="V708" s="42">
        <f>IFERROR(MONTH(emp_db[[#This Row],[Exit Date]]),"")</f>
        <v>1</v>
      </c>
    </row>
    <row r="709" spans="2:22">
      <c r="B709" s="39"/>
      <c r="C709" s="39"/>
      <c r="D709" s="39"/>
      <c r="E709" s="39"/>
      <c r="F709" s="40"/>
      <c r="G709" s="38"/>
      <c r="H709" s="43"/>
      <c r="I709" s="43"/>
      <c r="J709" s="39"/>
      <c r="K709" s="38"/>
      <c r="L709" s="39"/>
      <c r="M709" s="39"/>
      <c r="N709" s="43"/>
      <c r="O709" s="38"/>
      <c r="P709" s="38"/>
      <c r="Q709" s="41" t="str">
        <f ca="1">IF(emp_db[[#This Row],[Exit Date]]&lt;&gt;"",(emp_db[[#This Row],[Exit Date]]-emp_db[[#This Row],[Column1]])/365,IF(emp_db[[#This Row],[ID]]&lt;&gt;"",(TODAY()-emp_db[[#This Row],[Column1]])/365,""))</f>
        <v/>
      </c>
      <c r="R709" s="42" t="str">
        <f ca="1">IF(emp_db[[#This Row],[Date of Birth]]&lt;&gt;"",(TODAY()-emp_db[[#This Row],[Date of Birth]])/365,"")</f>
        <v/>
      </c>
      <c r="S709" s="42">
        <f>YEAR(emp_db[[#This Row],[Column1]])</f>
        <v>1900</v>
      </c>
      <c r="T709" s="42">
        <f>MONTH(emp_db[[#This Row],[Column1]])</f>
        <v>1</v>
      </c>
      <c r="U709" s="42">
        <f>IFERROR(YEAR(emp_db[[#This Row],[Exit Date]]),"")</f>
        <v>1900</v>
      </c>
      <c r="V709" s="42">
        <f>IFERROR(MONTH(emp_db[[#This Row],[Exit Date]]),"")</f>
        <v>1</v>
      </c>
    </row>
    <row r="710" spans="2:22">
      <c r="B710" s="39"/>
      <c r="C710" s="39"/>
      <c r="D710" s="39"/>
      <c r="E710" s="39"/>
      <c r="F710" s="40"/>
      <c r="G710" s="38"/>
      <c r="H710" s="43"/>
      <c r="I710" s="43"/>
      <c r="J710" s="39"/>
      <c r="K710" s="38"/>
      <c r="L710" s="39"/>
      <c r="M710" s="39"/>
      <c r="N710" s="43"/>
      <c r="O710" s="38"/>
      <c r="P710" s="38"/>
      <c r="Q710" s="41" t="str">
        <f ca="1">IF(emp_db[[#This Row],[Exit Date]]&lt;&gt;"",(emp_db[[#This Row],[Exit Date]]-emp_db[[#This Row],[Column1]])/365,IF(emp_db[[#This Row],[ID]]&lt;&gt;"",(TODAY()-emp_db[[#This Row],[Column1]])/365,""))</f>
        <v/>
      </c>
      <c r="R710" s="42" t="str">
        <f ca="1">IF(emp_db[[#This Row],[Date of Birth]]&lt;&gt;"",(TODAY()-emp_db[[#This Row],[Date of Birth]])/365,"")</f>
        <v/>
      </c>
      <c r="S710" s="42">
        <f>YEAR(emp_db[[#This Row],[Column1]])</f>
        <v>1900</v>
      </c>
      <c r="T710" s="42">
        <f>MONTH(emp_db[[#This Row],[Column1]])</f>
        <v>1</v>
      </c>
      <c r="U710" s="42">
        <f>IFERROR(YEAR(emp_db[[#This Row],[Exit Date]]),"")</f>
        <v>1900</v>
      </c>
      <c r="V710" s="42">
        <f>IFERROR(MONTH(emp_db[[#This Row],[Exit Date]]),"")</f>
        <v>1</v>
      </c>
    </row>
    <row r="711" spans="2:22">
      <c r="B711" s="39"/>
      <c r="C711" s="39"/>
      <c r="D711" s="39"/>
      <c r="E711" s="39"/>
      <c r="F711" s="40"/>
      <c r="G711" s="38"/>
      <c r="H711" s="43"/>
      <c r="I711" s="43"/>
      <c r="J711" s="39"/>
      <c r="K711" s="38"/>
      <c r="L711" s="39"/>
      <c r="M711" s="39"/>
      <c r="N711" s="43"/>
      <c r="O711" s="38"/>
      <c r="P711" s="38"/>
      <c r="Q711" s="41" t="str">
        <f ca="1">IF(emp_db[[#This Row],[Exit Date]]&lt;&gt;"",(emp_db[[#This Row],[Exit Date]]-emp_db[[#This Row],[Column1]])/365,IF(emp_db[[#This Row],[ID]]&lt;&gt;"",(TODAY()-emp_db[[#This Row],[Column1]])/365,""))</f>
        <v/>
      </c>
      <c r="R711" s="42" t="str">
        <f ca="1">IF(emp_db[[#This Row],[Date of Birth]]&lt;&gt;"",(TODAY()-emp_db[[#This Row],[Date of Birth]])/365,"")</f>
        <v/>
      </c>
      <c r="S711" s="42">
        <f>YEAR(emp_db[[#This Row],[Column1]])</f>
        <v>1900</v>
      </c>
      <c r="T711" s="42">
        <f>MONTH(emp_db[[#This Row],[Column1]])</f>
        <v>1</v>
      </c>
      <c r="U711" s="42">
        <f>IFERROR(YEAR(emp_db[[#This Row],[Exit Date]]),"")</f>
        <v>1900</v>
      </c>
      <c r="V711" s="42">
        <f>IFERROR(MONTH(emp_db[[#This Row],[Exit Date]]),"")</f>
        <v>1</v>
      </c>
    </row>
    <row r="712" spans="2:22">
      <c r="B712" s="39"/>
      <c r="C712" s="39"/>
      <c r="D712" s="39"/>
      <c r="E712" s="39"/>
      <c r="F712" s="40"/>
      <c r="G712" s="38"/>
      <c r="H712" s="43"/>
      <c r="I712" s="43"/>
      <c r="J712" s="39"/>
      <c r="K712" s="38"/>
      <c r="L712" s="39"/>
      <c r="M712" s="39"/>
      <c r="N712" s="43"/>
      <c r="O712" s="38"/>
      <c r="P712" s="38"/>
      <c r="Q712" s="41" t="str">
        <f ca="1">IF(emp_db[[#This Row],[Exit Date]]&lt;&gt;"",(emp_db[[#This Row],[Exit Date]]-emp_db[[#This Row],[Column1]])/365,IF(emp_db[[#This Row],[ID]]&lt;&gt;"",(TODAY()-emp_db[[#This Row],[Column1]])/365,""))</f>
        <v/>
      </c>
      <c r="R712" s="42" t="str">
        <f ca="1">IF(emp_db[[#This Row],[Date of Birth]]&lt;&gt;"",(TODAY()-emp_db[[#This Row],[Date of Birth]])/365,"")</f>
        <v/>
      </c>
      <c r="S712" s="42">
        <f>YEAR(emp_db[[#This Row],[Column1]])</f>
        <v>1900</v>
      </c>
      <c r="T712" s="42">
        <f>MONTH(emp_db[[#This Row],[Column1]])</f>
        <v>1</v>
      </c>
      <c r="U712" s="42">
        <f>IFERROR(YEAR(emp_db[[#This Row],[Exit Date]]),"")</f>
        <v>1900</v>
      </c>
      <c r="V712" s="42">
        <f>IFERROR(MONTH(emp_db[[#This Row],[Exit Date]]),"")</f>
        <v>1</v>
      </c>
    </row>
    <row r="713" spans="2:22">
      <c r="B713" s="39"/>
      <c r="C713" s="39"/>
      <c r="D713" s="39"/>
      <c r="E713" s="39"/>
      <c r="F713" s="40"/>
      <c r="G713" s="38"/>
      <c r="H713" s="43"/>
      <c r="I713" s="43"/>
      <c r="J713" s="39"/>
      <c r="K713" s="38"/>
      <c r="L713" s="39"/>
      <c r="M713" s="39"/>
      <c r="N713" s="43"/>
      <c r="O713" s="38"/>
      <c r="P713" s="38"/>
      <c r="Q713" s="41" t="str">
        <f ca="1">IF(emp_db[[#This Row],[Exit Date]]&lt;&gt;"",(emp_db[[#This Row],[Exit Date]]-emp_db[[#This Row],[Column1]])/365,IF(emp_db[[#This Row],[ID]]&lt;&gt;"",(TODAY()-emp_db[[#This Row],[Column1]])/365,""))</f>
        <v/>
      </c>
      <c r="R713" s="42" t="str">
        <f ca="1">IF(emp_db[[#This Row],[Date of Birth]]&lt;&gt;"",(TODAY()-emp_db[[#This Row],[Date of Birth]])/365,"")</f>
        <v/>
      </c>
      <c r="S713" s="42">
        <f>YEAR(emp_db[[#This Row],[Column1]])</f>
        <v>1900</v>
      </c>
      <c r="T713" s="42">
        <f>MONTH(emp_db[[#This Row],[Column1]])</f>
        <v>1</v>
      </c>
      <c r="U713" s="42">
        <f>IFERROR(YEAR(emp_db[[#This Row],[Exit Date]]),"")</f>
        <v>1900</v>
      </c>
      <c r="V713" s="42">
        <f>IFERROR(MONTH(emp_db[[#This Row],[Exit Date]]),"")</f>
        <v>1</v>
      </c>
    </row>
    <row r="714" spans="2:22">
      <c r="B714" s="39"/>
      <c r="C714" s="39"/>
      <c r="D714" s="39"/>
      <c r="E714" s="39"/>
      <c r="F714" s="40"/>
      <c r="G714" s="38"/>
      <c r="H714" s="43"/>
      <c r="I714" s="43"/>
      <c r="J714" s="39"/>
      <c r="K714" s="38"/>
      <c r="L714" s="39"/>
      <c r="M714" s="39"/>
      <c r="N714" s="43"/>
      <c r="O714" s="38"/>
      <c r="P714" s="38"/>
      <c r="Q714" s="41" t="str">
        <f ca="1">IF(emp_db[[#This Row],[Exit Date]]&lt;&gt;"",(emp_db[[#This Row],[Exit Date]]-emp_db[[#This Row],[Column1]])/365,IF(emp_db[[#This Row],[ID]]&lt;&gt;"",(TODAY()-emp_db[[#This Row],[Column1]])/365,""))</f>
        <v/>
      </c>
      <c r="R714" s="42" t="str">
        <f ca="1">IF(emp_db[[#This Row],[Date of Birth]]&lt;&gt;"",(TODAY()-emp_db[[#This Row],[Date of Birth]])/365,"")</f>
        <v/>
      </c>
      <c r="S714" s="42">
        <f>YEAR(emp_db[[#This Row],[Column1]])</f>
        <v>1900</v>
      </c>
      <c r="T714" s="42">
        <f>MONTH(emp_db[[#This Row],[Column1]])</f>
        <v>1</v>
      </c>
      <c r="U714" s="42">
        <f>IFERROR(YEAR(emp_db[[#This Row],[Exit Date]]),"")</f>
        <v>1900</v>
      </c>
      <c r="V714" s="42">
        <f>IFERROR(MONTH(emp_db[[#This Row],[Exit Date]]),"")</f>
        <v>1</v>
      </c>
    </row>
    <row r="715" spans="2:22">
      <c r="B715" s="39"/>
      <c r="C715" s="39"/>
      <c r="D715" s="39"/>
      <c r="E715" s="39"/>
      <c r="F715" s="40"/>
      <c r="G715" s="38"/>
      <c r="H715" s="43"/>
      <c r="I715" s="43"/>
      <c r="J715" s="39"/>
      <c r="K715" s="38"/>
      <c r="L715" s="39"/>
      <c r="M715" s="39"/>
      <c r="N715" s="43"/>
      <c r="O715" s="38"/>
      <c r="P715" s="38"/>
      <c r="Q715" s="41" t="str">
        <f ca="1">IF(emp_db[[#This Row],[Exit Date]]&lt;&gt;"",(emp_db[[#This Row],[Exit Date]]-emp_db[[#This Row],[Column1]])/365,IF(emp_db[[#This Row],[ID]]&lt;&gt;"",(TODAY()-emp_db[[#This Row],[Column1]])/365,""))</f>
        <v/>
      </c>
      <c r="R715" s="42" t="str">
        <f ca="1">IF(emp_db[[#This Row],[Date of Birth]]&lt;&gt;"",(TODAY()-emp_db[[#This Row],[Date of Birth]])/365,"")</f>
        <v/>
      </c>
      <c r="S715" s="42">
        <f>YEAR(emp_db[[#This Row],[Column1]])</f>
        <v>1900</v>
      </c>
      <c r="T715" s="42">
        <f>MONTH(emp_db[[#This Row],[Column1]])</f>
        <v>1</v>
      </c>
      <c r="U715" s="42">
        <f>IFERROR(YEAR(emp_db[[#This Row],[Exit Date]]),"")</f>
        <v>1900</v>
      </c>
      <c r="V715" s="42">
        <f>IFERROR(MONTH(emp_db[[#This Row],[Exit Date]]),"")</f>
        <v>1</v>
      </c>
    </row>
    <row r="716" spans="2:22">
      <c r="B716" s="39"/>
      <c r="C716" s="39"/>
      <c r="D716" s="39"/>
      <c r="E716" s="39"/>
      <c r="F716" s="40"/>
      <c r="G716" s="38"/>
      <c r="H716" s="43"/>
      <c r="I716" s="43"/>
      <c r="J716" s="39"/>
      <c r="K716" s="38"/>
      <c r="L716" s="39"/>
      <c r="M716" s="39"/>
      <c r="N716" s="43"/>
      <c r="O716" s="38"/>
      <c r="P716" s="38"/>
      <c r="Q716" s="41" t="str">
        <f ca="1">IF(emp_db[[#This Row],[Exit Date]]&lt;&gt;"",(emp_db[[#This Row],[Exit Date]]-emp_db[[#This Row],[Column1]])/365,IF(emp_db[[#This Row],[ID]]&lt;&gt;"",(TODAY()-emp_db[[#This Row],[Column1]])/365,""))</f>
        <v/>
      </c>
      <c r="R716" s="42" t="str">
        <f ca="1">IF(emp_db[[#This Row],[Date of Birth]]&lt;&gt;"",(TODAY()-emp_db[[#This Row],[Date of Birth]])/365,"")</f>
        <v/>
      </c>
      <c r="S716" s="42">
        <f>YEAR(emp_db[[#This Row],[Column1]])</f>
        <v>1900</v>
      </c>
      <c r="T716" s="42">
        <f>MONTH(emp_db[[#This Row],[Column1]])</f>
        <v>1</v>
      </c>
      <c r="U716" s="42">
        <f>IFERROR(YEAR(emp_db[[#This Row],[Exit Date]]),"")</f>
        <v>1900</v>
      </c>
      <c r="V716" s="42">
        <f>IFERROR(MONTH(emp_db[[#This Row],[Exit Date]]),"")</f>
        <v>1</v>
      </c>
    </row>
    <row r="717" spans="2:22">
      <c r="B717" s="39"/>
      <c r="C717" s="39"/>
      <c r="D717" s="39"/>
      <c r="E717" s="39"/>
      <c r="F717" s="40"/>
      <c r="G717" s="38"/>
      <c r="H717" s="43"/>
      <c r="I717" s="43"/>
      <c r="J717" s="39"/>
      <c r="K717" s="38"/>
      <c r="L717" s="39"/>
      <c r="M717" s="39"/>
      <c r="N717" s="43"/>
      <c r="O717" s="38"/>
      <c r="P717" s="38"/>
      <c r="Q717" s="41" t="str">
        <f ca="1">IF(emp_db[[#This Row],[Exit Date]]&lt;&gt;"",(emp_db[[#This Row],[Exit Date]]-emp_db[[#This Row],[Column1]])/365,IF(emp_db[[#This Row],[ID]]&lt;&gt;"",(TODAY()-emp_db[[#This Row],[Column1]])/365,""))</f>
        <v/>
      </c>
      <c r="R717" s="42" t="str">
        <f ca="1">IF(emp_db[[#This Row],[Date of Birth]]&lt;&gt;"",(TODAY()-emp_db[[#This Row],[Date of Birth]])/365,"")</f>
        <v/>
      </c>
      <c r="S717" s="42">
        <f>YEAR(emp_db[[#This Row],[Column1]])</f>
        <v>1900</v>
      </c>
      <c r="T717" s="42">
        <f>MONTH(emp_db[[#This Row],[Column1]])</f>
        <v>1</v>
      </c>
      <c r="U717" s="42">
        <f>IFERROR(YEAR(emp_db[[#This Row],[Exit Date]]),"")</f>
        <v>1900</v>
      </c>
      <c r="V717" s="42">
        <f>IFERROR(MONTH(emp_db[[#This Row],[Exit Date]]),"")</f>
        <v>1</v>
      </c>
    </row>
    <row r="718" spans="2:22">
      <c r="B718" s="39"/>
      <c r="C718" s="39"/>
      <c r="D718" s="39"/>
      <c r="E718" s="39"/>
      <c r="F718" s="40"/>
      <c r="G718" s="38"/>
      <c r="H718" s="43"/>
      <c r="I718" s="43"/>
      <c r="J718" s="39"/>
      <c r="K718" s="38"/>
      <c r="L718" s="39"/>
      <c r="M718" s="39"/>
      <c r="N718" s="43"/>
      <c r="O718" s="38"/>
      <c r="P718" s="38"/>
      <c r="Q718" s="41" t="str">
        <f ca="1">IF(emp_db[[#This Row],[Exit Date]]&lt;&gt;"",(emp_db[[#This Row],[Exit Date]]-emp_db[[#This Row],[Column1]])/365,IF(emp_db[[#This Row],[ID]]&lt;&gt;"",(TODAY()-emp_db[[#This Row],[Column1]])/365,""))</f>
        <v/>
      </c>
      <c r="R718" s="42" t="str">
        <f ca="1">IF(emp_db[[#This Row],[Date of Birth]]&lt;&gt;"",(TODAY()-emp_db[[#This Row],[Date of Birth]])/365,"")</f>
        <v/>
      </c>
      <c r="S718" s="42">
        <f>YEAR(emp_db[[#This Row],[Column1]])</f>
        <v>1900</v>
      </c>
      <c r="T718" s="42">
        <f>MONTH(emp_db[[#This Row],[Column1]])</f>
        <v>1</v>
      </c>
      <c r="U718" s="42">
        <f>IFERROR(YEAR(emp_db[[#This Row],[Exit Date]]),"")</f>
        <v>1900</v>
      </c>
      <c r="V718" s="42">
        <f>IFERROR(MONTH(emp_db[[#This Row],[Exit Date]]),"")</f>
        <v>1</v>
      </c>
    </row>
    <row r="719" spans="2:22">
      <c r="B719" s="39"/>
      <c r="C719" s="39"/>
      <c r="D719" s="39"/>
      <c r="E719" s="39"/>
      <c r="F719" s="40"/>
      <c r="G719" s="38"/>
      <c r="H719" s="43"/>
      <c r="I719" s="43"/>
      <c r="J719" s="39"/>
      <c r="K719" s="38"/>
      <c r="L719" s="39"/>
      <c r="M719" s="39"/>
      <c r="N719" s="43"/>
      <c r="O719" s="38"/>
      <c r="P719" s="38"/>
      <c r="Q719" s="41" t="str">
        <f ca="1">IF(emp_db[[#This Row],[Exit Date]]&lt;&gt;"",(emp_db[[#This Row],[Exit Date]]-emp_db[[#This Row],[Column1]])/365,IF(emp_db[[#This Row],[ID]]&lt;&gt;"",(TODAY()-emp_db[[#This Row],[Column1]])/365,""))</f>
        <v/>
      </c>
      <c r="R719" s="42" t="str">
        <f ca="1">IF(emp_db[[#This Row],[Date of Birth]]&lt;&gt;"",(TODAY()-emp_db[[#This Row],[Date of Birth]])/365,"")</f>
        <v/>
      </c>
      <c r="S719" s="42">
        <f>YEAR(emp_db[[#This Row],[Column1]])</f>
        <v>1900</v>
      </c>
      <c r="T719" s="42">
        <f>MONTH(emp_db[[#This Row],[Column1]])</f>
        <v>1</v>
      </c>
      <c r="U719" s="42">
        <f>IFERROR(YEAR(emp_db[[#This Row],[Exit Date]]),"")</f>
        <v>1900</v>
      </c>
      <c r="V719" s="42">
        <f>IFERROR(MONTH(emp_db[[#This Row],[Exit Date]]),"")</f>
        <v>1</v>
      </c>
    </row>
    <row r="720" spans="2:22">
      <c r="B720" s="39"/>
      <c r="C720" s="39"/>
      <c r="D720" s="39"/>
      <c r="E720" s="39"/>
      <c r="F720" s="40"/>
      <c r="G720" s="38"/>
      <c r="H720" s="43"/>
      <c r="I720" s="43"/>
      <c r="J720" s="39"/>
      <c r="K720" s="38"/>
      <c r="L720" s="39"/>
      <c r="M720" s="39"/>
      <c r="N720" s="43"/>
      <c r="O720" s="38"/>
      <c r="P720" s="38"/>
      <c r="Q720" s="41" t="str">
        <f ca="1">IF(emp_db[[#This Row],[Exit Date]]&lt;&gt;"",(emp_db[[#This Row],[Exit Date]]-emp_db[[#This Row],[Column1]])/365,IF(emp_db[[#This Row],[ID]]&lt;&gt;"",(TODAY()-emp_db[[#This Row],[Column1]])/365,""))</f>
        <v/>
      </c>
      <c r="R720" s="42" t="str">
        <f ca="1">IF(emp_db[[#This Row],[Date of Birth]]&lt;&gt;"",(TODAY()-emp_db[[#This Row],[Date of Birth]])/365,"")</f>
        <v/>
      </c>
      <c r="S720" s="42">
        <f>YEAR(emp_db[[#This Row],[Column1]])</f>
        <v>1900</v>
      </c>
      <c r="T720" s="42">
        <f>MONTH(emp_db[[#This Row],[Column1]])</f>
        <v>1</v>
      </c>
      <c r="U720" s="42">
        <f>IFERROR(YEAR(emp_db[[#This Row],[Exit Date]]),"")</f>
        <v>1900</v>
      </c>
      <c r="V720" s="42">
        <f>IFERROR(MONTH(emp_db[[#This Row],[Exit Date]]),"")</f>
        <v>1</v>
      </c>
    </row>
    <row r="721" spans="2:22">
      <c r="B721" s="39"/>
      <c r="C721" s="39"/>
      <c r="D721" s="39"/>
      <c r="E721" s="39"/>
      <c r="F721" s="40"/>
      <c r="G721" s="38"/>
      <c r="H721" s="43"/>
      <c r="I721" s="43"/>
      <c r="J721" s="39"/>
      <c r="K721" s="38"/>
      <c r="L721" s="39"/>
      <c r="M721" s="39"/>
      <c r="N721" s="43"/>
      <c r="O721" s="38"/>
      <c r="P721" s="38"/>
      <c r="Q721" s="41" t="str">
        <f ca="1">IF(emp_db[[#This Row],[Exit Date]]&lt;&gt;"",(emp_db[[#This Row],[Exit Date]]-emp_db[[#This Row],[Column1]])/365,IF(emp_db[[#This Row],[ID]]&lt;&gt;"",(TODAY()-emp_db[[#This Row],[Column1]])/365,""))</f>
        <v/>
      </c>
      <c r="R721" s="42" t="str">
        <f ca="1">IF(emp_db[[#This Row],[Date of Birth]]&lt;&gt;"",(TODAY()-emp_db[[#This Row],[Date of Birth]])/365,"")</f>
        <v/>
      </c>
      <c r="S721" s="42">
        <f>YEAR(emp_db[[#This Row],[Column1]])</f>
        <v>1900</v>
      </c>
      <c r="T721" s="42">
        <f>MONTH(emp_db[[#This Row],[Column1]])</f>
        <v>1</v>
      </c>
      <c r="U721" s="42">
        <f>IFERROR(YEAR(emp_db[[#This Row],[Exit Date]]),"")</f>
        <v>1900</v>
      </c>
      <c r="V721" s="42">
        <f>IFERROR(MONTH(emp_db[[#This Row],[Exit Date]]),"")</f>
        <v>1</v>
      </c>
    </row>
    <row r="722" spans="2:22">
      <c r="B722" s="39"/>
      <c r="C722" s="39"/>
      <c r="D722" s="39"/>
      <c r="E722" s="39"/>
      <c r="F722" s="40"/>
      <c r="G722" s="38"/>
      <c r="H722" s="43"/>
      <c r="I722" s="43"/>
      <c r="J722" s="39"/>
      <c r="K722" s="38"/>
      <c r="L722" s="39"/>
      <c r="M722" s="39"/>
      <c r="N722" s="43"/>
      <c r="O722" s="38"/>
      <c r="P722" s="38"/>
      <c r="Q722" s="41" t="str">
        <f ca="1">IF(emp_db[[#This Row],[Exit Date]]&lt;&gt;"",(emp_db[[#This Row],[Exit Date]]-emp_db[[#This Row],[Column1]])/365,IF(emp_db[[#This Row],[ID]]&lt;&gt;"",(TODAY()-emp_db[[#This Row],[Column1]])/365,""))</f>
        <v/>
      </c>
      <c r="R722" s="42" t="str">
        <f ca="1">IF(emp_db[[#This Row],[Date of Birth]]&lt;&gt;"",(TODAY()-emp_db[[#This Row],[Date of Birth]])/365,"")</f>
        <v/>
      </c>
      <c r="S722" s="42">
        <f>YEAR(emp_db[[#This Row],[Column1]])</f>
        <v>1900</v>
      </c>
      <c r="T722" s="42">
        <f>MONTH(emp_db[[#This Row],[Column1]])</f>
        <v>1</v>
      </c>
      <c r="U722" s="42">
        <f>IFERROR(YEAR(emp_db[[#This Row],[Exit Date]]),"")</f>
        <v>1900</v>
      </c>
      <c r="V722" s="42">
        <f>IFERROR(MONTH(emp_db[[#This Row],[Exit Date]]),"")</f>
        <v>1</v>
      </c>
    </row>
    <row r="723" spans="2:22">
      <c r="B723" s="39"/>
      <c r="C723" s="39"/>
      <c r="D723" s="39"/>
      <c r="E723" s="39"/>
      <c r="F723" s="40"/>
      <c r="G723" s="38"/>
      <c r="H723" s="43"/>
      <c r="I723" s="43"/>
      <c r="J723" s="39"/>
      <c r="K723" s="38"/>
      <c r="L723" s="39"/>
      <c r="M723" s="39"/>
      <c r="N723" s="43"/>
      <c r="O723" s="38"/>
      <c r="P723" s="38"/>
      <c r="Q723" s="41" t="str">
        <f ca="1">IF(emp_db[[#This Row],[Exit Date]]&lt;&gt;"",(emp_db[[#This Row],[Exit Date]]-emp_db[[#This Row],[Column1]])/365,IF(emp_db[[#This Row],[ID]]&lt;&gt;"",(TODAY()-emp_db[[#This Row],[Column1]])/365,""))</f>
        <v/>
      </c>
      <c r="R723" s="42" t="str">
        <f ca="1">IF(emp_db[[#This Row],[Date of Birth]]&lt;&gt;"",(TODAY()-emp_db[[#This Row],[Date of Birth]])/365,"")</f>
        <v/>
      </c>
      <c r="S723" s="42">
        <f>YEAR(emp_db[[#This Row],[Column1]])</f>
        <v>1900</v>
      </c>
      <c r="T723" s="42">
        <f>MONTH(emp_db[[#This Row],[Column1]])</f>
        <v>1</v>
      </c>
      <c r="U723" s="42">
        <f>IFERROR(YEAR(emp_db[[#This Row],[Exit Date]]),"")</f>
        <v>1900</v>
      </c>
      <c r="V723" s="42">
        <f>IFERROR(MONTH(emp_db[[#This Row],[Exit Date]]),"")</f>
        <v>1</v>
      </c>
    </row>
    <row r="724" spans="2:22">
      <c r="B724" s="39"/>
      <c r="C724" s="39"/>
      <c r="D724" s="39"/>
      <c r="E724" s="39"/>
      <c r="F724" s="40"/>
      <c r="G724" s="38"/>
      <c r="H724" s="43"/>
      <c r="I724" s="43"/>
      <c r="J724" s="39"/>
      <c r="K724" s="38"/>
      <c r="L724" s="39"/>
      <c r="M724" s="39"/>
      <c r="N724" s="43"/>
      <c r="O724" s="38"/>
      <c r="P724" s="38"/>
      <c r="Q724" s="41" t="str">
        <f ca="1">IF(emp_db[[#This Row],[Exit Date]]&lt;&gt;"",(emp_db[[#This Row],[Exit Date]]-emp_db[[#This Row],[Column1]])/365,IF(emp_db[[#This Row],[ID]]&lt;&gt;"",(TODAY()-emp_db[[#This Row],[Column1]])/365,""))</f>
        <v/>
      </c>
      <c r="R724" s="42" t="str">
        <f ca="1">IF(emp_db[[#This Row],[Date of Birth]]&lt;&gt;"",(TODAY()-emp_db[[#This Row],[Date of Birth]])/365,"")</f>
        <v/>
      </c>
      <c r="S724" s="42">
        <f>YEAR(emp_db[[#This Row],[Column1]])</f>
        <v>1900</v>
      </c>
      <c r="T724" s="42">
        <f>MONTH(emp_db[[#This Row],[Column1]])</f>
        <v>1</v>
      </c>
      <c r="U724" s="42">
        <f>IFERROR(YEAR(emp_db[[#This Row],[Exit Date]]),"")</f>
        <v>1900</v>
      </c>
      <c r="V724" s="42">
        <f>IFERROR(MONTH(emp_db[[#This Row],[Exit Date]]),"")</f>
        <v>1</v>
      </c>
    </row>
    <row r="725" spans="2:22">
      <c r="B725" s="39"/>
      <c r="C725" s="39"/>
      <c r="D725" s="39"/>
      <c r="E725" s="39"/>
      <c r="F725" s="40"/>
      <c r="G725" s="38"/>
      <c r="H725" s="43"/>
      <c r="I725" s="43"/>
      <c r="J725" s="39"/>
      <c r="K725" s="38"/>
      <c r="L725" s="39"/>
      <c r="M725" s="39"/>
      <c r="N725" s="43"/>
      <c r="O725" s="38"/>
      <c r="P725" s="38"/>
      <c r="Q725" s="41" t="str">
        <f ca="1">IF(emp_db[[#This Row],[Exit Date]]&lt;&gt;"",(emp_db[[#This Row],[Exit Date]]-emp_db[[#This Row],[Column1]])/365,IF(emp_db[[#This Row],[ID]]&lt;&gt;"",(TODAY()-emp_db[[#This Row],[Column1]])/365,""))</f>
        <v/>
      </c>
      <c r="R725" s="42" t="str">
        <f ca="1">IF(emp_db[[#This Row],[Date of Birth]]&lt;&gt;"",(TODAY()-emp_db[[#This Row],[Date of Birth]])/365,"")</f>
        <v/>
      </c>
      <c r="S725" s="42">
        <f>YEAR(emp_db[[#This Row],[Column1]])</f>
        <v>1900</v>
      </c>
      <c r="T725" s="42">
        <f>MONTH(emp_db[[#This Row],[Column1]])</f>
        <v>1</v>
      </c>
      <c r="U725" s="42">
        <f>IFERROR(YEAR(emp_db[[#This Row],[Exit Date]]),"")</f>
        <v>1900</v>
      </c>
      <c r="V725" s="42">
        <f>IFERROR(MONTH(emp_db[[#This Row],[Exit Date]]),"")</f>
        <v>1</v>
      </c>
    </row>
    <row r="726" spans="2:22">
      <c r="B726" s="39"/>
      <c r="C726" s="39"/>
      <c r="D726" s="39"/>
      <c r="E726" s="39"/>
      <c r="F726" s="40"/>
      <c r="G726" s="38"/>
      <c r="H726" s="43"/>
      <c r="I726" s="43"/>
      <c r="J726" s="39"/>
      <c r="K726" s="38"/>
      <c r="L726" s="39"/>
      <c r="M726" s="39"/>
      <c r="N726" s="43"/>
      <c r="O726" s="38"/>
      <c r="P726" s="38"/>
      <c r="Q726" s="41" t="str">
        <f ca="1">IF(emp_db[[#This Row],[Exit Date]]&lt;&gt;"",(emp_db[[#This Row],[Exit Date]]-emp_db[[#This Row],[Column1]])/365,IF(emp_db[[#This Row],[ID]]&lt;&gt;"",(TODAY()-emp_db[[#This Row],[Column1]])/365,""))</f>
        <v/>
      </c>
      <c r="R726" s="42" t="str">
        <f ca="1">IF(emp_db[[#This Row],[Date of Birth]]&lt;&gt;"",(TODAY()-emp_db[[#This Row],[Date of Birth]])/365,"")</f>
        <v/>
      </c>
      <c r="S726" s="42">
        <f>YEAR(emp_db[[#This Row],[Column1]])</f>
        <v>1900</v>
      </c>
      <c r="T726" s="42">
        <f>MONTH(emp_db[[#This Row],[Column1]])</f>
        <v>1</v>
      </c>
      <c r="U726" s="42">
        <f>IFERROR(YEAR(emp_db[[#This Row],[Exit Date]]),"")</f>
        <v>1900</v>
      </c>
      <c r="V726" s="42">
        <f>IFERROR(MONTH(emp_db[[#This Row],[Exit Date]]),"")</f>
        <v>1</v>
      </c>
    </row>
    <row r="727" spans="2:22">
      <c r="B727" s="39"/>
      <c r="C727" s="39"/>
      <c r="D727" s="39"/>
      <c r="E727" s="39"/>
      <c r="F727" s="40"/>
      <c r="G727" s="38"/>
      <c r="H727" s="43"/>
      <c r="I727" s="43"/>
      <c r="J727" s="39"/>
      <c r="K727" s="38"/>
      <c r="L727" s="39"/>
      <c r="M727" s="39"/>
      <c r="N727" s="43"/>
      <c r="O727" s="38"/>
      <c r="P727" s="38"/>
      <c r="Q727" s="41" t="str">
        <f ca="1">IF(emp_db[[#This Row],[Exit Date]]&lt;&gt;"",(emp_db[[#This Row],[Exit Date]]-emp_db[[#This Row],[Column1]])/365,IF(emp_db[[#This Row],[ID]]&lt;&gt;"",(TODAY()-emp_db[[#This Row],[Column1]])/365,""))</f>
        <v/>
      </c>
      <c r="R727" s="42" t="str">
        <f ca="1">IF(emp_db[[#This Row],[Date of Birth]]&lt;&gt;"",(TODAY()-emp_db[[#This Row],[Date of Birth]])/365,"")</f>
        <v/>
      </c>
      <c r="S727" s="42">
        <f>YEAR(emp_db[[#This Row],[Column1]])</f>
        <v>1900</v>
      </c>
      <c r="T727" s="42">
        <f>MONTH(emp_db[[#This Row],[Column1]])</f>
        <v>1</v>
      </c>
      <c r="U727" s="42">
        <f>IFERROR(YEAR(emp_db[[#This Row],[Exit Date]]),"")</f>
        <v>1900</v>
      </c>
      <c r="V727" s="42">
        <f>IFERROR(MONTH(emp_db[[#This Row],[Exit Date]]),"")</f>
        <v>1</v>
      </c>
    </row>
    <row r="728" spans="2:22">
      <c r="B728" s="39"/>
      <c r="C728" s="39"/>
      <c r="D728" s="39"/>
      <c r="E728" s="39"/>
      <c r="F728" s="40"/>
      <c r="G728" s="38"/>
      <c r="H728" s="43"/>
      <c r="I728" s="43"/>
      <c r="J728" s="39"/>
      <c r="K728" s="38"/>
      <c r="L728" s="39"/>
      <c r="M728" s="39"/>
      <c r="N728" s="43"/>
      <c r="O728" s="38"/>
      <c r="P728" s="38"/>
      <c r="Q728" s="41" t="str">
        <f ca="1">IF(emp_db[[#This Row],[Exit Date]]&lt;&gt;"",(emp_db[[#This Row],[Exit Date]]-emp_db[[#This Row],[Column1]])/365,IF(emp_db[[#This Row],[ID]]&lt;&gt;"",(TODAY()-emp_db[[#This Row],[Column1]])/365,""))</f>
        <v/>
      </c>
      <c r="R728" s="42" t="str">
        <f ca="1">IF(emp_db[[#This Row],[Date of Birth]]&lt;&gt;"",(TODAY()-emp_db[[#This Row],[Date of Birth]])/365,"")</f>
        <v/>
      </c>
      <c r="S728" s="42">
        <f>YEAR(emp_db[[#This Row],[Column1]])</f>
        <v>1900</v>
      </c>
      <c r="T728" s="42">
        <f>MONTH(emp_db[[#This Row],[Column1]])</f>
        <v>1</v>
      </c>
      <c r="U728" s="42">
        <f>IFERROR(YEAR(emp_db[[#This Row],[Exit Date]]),"")</f>
        <v>1900</v>
      </c>
      <c r="V728" s="42">
        <f>IFERROR(MONTH(emp_db[[#This Row],[Exit Date]]),"")</f>
        <v>1</v>
      </c>
    </row>
    <row r="729" spans="2:22">
      <c r="B729" s="39"/>
      <c r="C729" s="39"/>
      <c r="D729" s="39"/>
      <c r="E729" s="39"/>
      <c r="F729" s="40"/>
      <c r="G729" s="38"/>
      <c r="H729" s="43"/>
      <c r="I729" s="43"/>
      <c r="J729" s="39"/>
      <c r="K729" s="38"/>
      <c r="L729" s="39"/>
      <c r="M729" s="39"/>
      <c r="N729" s="43"/>
      <c r="O729" s="38"/>
      <c r="P729" s="38"/>
      <c r="Q729" s="41" t="str">
        <f ca="1">IF(emp_db[[#This Row],[Exit Date]]&lt;&gt;"",(emp_db[[#This Row],[Exit Date]]-emp_db[[#This Row],[Column1]])/365,IF(emp_db[[#This Row],[ID]]&lt;&gt;"",(TODAY()-emp_db[[#This Row],[Column1]])/365,""))</f>
        <v/>
      </c>
      <c r="R729" s="42" t="str">
        <f ca="1">IF(emp_db[[#This Row],[Date of Birth]]&lt;&gt;"",(TODAY()-emp_db[[#This Row],[Date of Birth]])/365,"")</f>
        <v/>
      </c>
      <c r="S729" s="42">
        <f>YEAR(emp_db[[#This Row],[Column1]])</f>
        <v>1900</v>
      </c>
      <c r="T729" s="42">
        <f>MONTH(emp_db[[#This Row],[Column1]])</f>
        <v>1</v>
      </c>
      <c r="U729" s="42">
        <f>IFERROR(YEAR(emp_db[[#This Row],[Exit Date]]),"")</f>
        <v>1900</v>
      </c>
      <c r="V729" s="42">
        <f>IFERROR(MONTH(emp_db[[#This Row],[Exit Date]]),"")</f>
        <v>1</v>
      </c>
    </row>
    <row r="730" spans="2:22">
      <c r="B730" s="39"/>
      <c r="C730" s="39"/>
      <c r="D730" s="39"/>
      <c r="E730" s="39"/>
      <c r="F730" s="40"/>
      <c r="G730" s="38"/>
      <c r="H730" s="43"/>
      <c r="I730" s="43"/>
      <c r="J730" s="39"/>
      <c r="K730" s="38"/>
      <c r="L730" s="39"/>
      <c r="M730" s="39"/>
      <c r="N730" s="43"/>
      <c r="O730" s="38"/>
      <c r="P730" s="38"/>
      <c r="Q730" s="41" t="str">
        <f ca="1">IF(emp_db[[#This Row],[Exit Date]]&lt;&gt;"",(emp_db[[#This Row],[Exit Date]]-emp_db[[#This Row],[Column1]])/365,IF(emp_db[[#This Row],[ID]]&lt;&gt;"",(TODAY()-emp_db[[#This Row],[Column1]])/365,""))</f>
        <v/>
      </c>
      <c r="R730" s="42" t="str">
        <f ca="1">IF(emp_db[[#This Row],[Date of Birth]]&lt;&gt;"",(TODAY()-emp_db[[#This Row],[Date of Birth]])/365,"")</f>
        <v/>
      </c>
      <c r="S730" s="42">
        <f>YEAR(emp_db[[#This Row],[Column1]])</f>
        <v>1900</v>
      </c>
      <c r="T730" s="42">
        <f>MONTH(emp_db[[#This Row],[Column1]])</f>
        <v>1</v>
      </c>
      <c r="U730" s="42">
        <f>IFERROR(YEAR(emp_db[[#This Row],[Exit Date]]),"")</f>
        <v>1900</v>
      </c>
      <c r="V730" s="42">
        <f>IFERROR(MONTH(emp_db[[#This Row],[Exit Date]]),"")</f>
        <v>1</v>
      </c>
    </row>
    <row r="731" spans="2:22">
      <c r="B731" s="39"/>
      <c r="C731" s="39"/>
      <c r="D731" s="39"/>
      <c r="E731" s="39"/>
      <c r="F731" s="40"/>
      <c r="G731" s="38"/>
      <c r="H731" s="43"/>
      <c r="I731" s="43"/>
      <c r="J731" s="39"/>
      <c r="K731" s="38"/>
      <c r="L731" s="39"/>
      <c r="M731" s="39"/>
      <c r="N731" s="43"/>
      <c r="O731" s="38"/>
      <c r="P731" s="38"/>
      <c r="Q731" s="41" t="str">
        <f ca="1">IF(emp_db[[#This Row],[Exit Date]]&lt;&gt;"",(emp_db[[#This Row],[Exit Date]]-emp_db[[#This Row],[Column1]])/365,IF(emp_db[[#This Row],[ID]]&lt;&gt;"",(TODAY()-emp_db[[#This Row],[Column1]])/365,""))</f>
        <v/>
      </c>
      <c r="R731" s="42" t="str">
        <f ca="1">IF(emp_db[[#This Row],[Date of Birth]]&lt;&gt;"",(TODAY()-emp_db[[#This Row],[Date of Birth]])/365,"")</f>
        <v/>
      </c>
      <c r="S731" s="42">
        <f>YEAR(emp_db[[#This Row],[Column1]])</f>
        <v>1900</v>
      </c>
      <c r="T731" s="42">
        <f>MONTH(emp_db[[#This Row],[Column1]])</f>
        <v>1</v>
      </c>
      <c r="U731" s="42">
        <f>IFERROR(YEAR(emp_db[[#This Row],[Exit Date]]),"")</f>
        <v>1900</v>
      </c>
      <c r="V731" s="42">
        <f>IFERROR(MONTH(emp_db[[#This Row],[Exit Date]]),"")</f>
        <v>1</v>
      </c>
    </row>
    <row r="732" spans="2:22">
      <c r="B732" s="39"/>
      <c r="C732" s="39"/>
      <c r="D732" s="39"/>
      <c r="E732" s="39"/>
      <c r="F732" s="40"/>
      <c r="G732" s="38"/>
      <c r="H732" s="43"/>
      <c r="I732" s="43"/>
      <c r="J732" s="39"/>
      <c r="K732" s="38"/>
      <c r="L732" s="39"/>
      <c r="M732" s="39"/>
      <c r="N732" s="43"/>
      <c r="O732" s="38"/>
      <c r="P732" s="38"/>
      <c r="Q732" s="41" t="str">
        <f ca="1">IF(emp_db[[#This Row],[Exit Date]]&lt;&gt;"",(emp_db[[#This Row],[Exit Date]]-emp_db[[#This Row],[Column1]])/365,IF(emp_db[[#This Row],[ID]]&lt;&gt;"",(TODAY()-emp_db[[#This Row],[Column1]])/365,""))</f>
        <v/>
      </c>
      <c r="R732" s="42" t="str">
        <f ca="1">IF(emp_db[[#This Row],[Date of Birth]]&lt;&gt;"",(TODAY()-emp_db[[#This Row],[Date of Birth]])/365,"")</f>
        <v/>
      </c>
      <c r="S732" s="42">
        <f>YEAR(emp_db[[#This Row],[Column1]])</f>
        <v>1900</v>
      </c>
      <c r="T732" s="42">
        <f>MONTH(emp_db[[#This Row],[Column1]])</f>
        <v>1</v>
      </c>
      <c r="U732" s="42">
        <f>IFERROR(YEAR(emp_db[[#This Row],[Exit Date]]),"")</f>
        <v>1900</v>
      </c>
      <c r="V732" s="42">
        <f>IFERROR(MONTH(emp_db[[#This Row],[Exit Date]]),"")</f>
        <v>1</v>
      </c>
    </row>
    <row r="733" spans="2:22">
      <c r="B733" s="39"/>
      <c r="C733" s="39"/>
      <c r="D733" s="39"/>
      <c r="E733" s="39"/>
      <c r="F733" s="40"/>
      <c r="G733" s="38"/>
      <c r="H733" s="43"/>
      <c r="I733" s="43"/>
      <c r="J733" s="39"/>
      <c r="K733" s="38"/>
      <c r="L733" s="39"/>
      <c r="M733" s="39"/>
      <c r="N733" s="43"/>
      <c r="O733" s="38"/>
      <c r="P733" s="38"/>
      <c r="Q733" s="41" t="str">
        <f ca="1">IF(emp_db[[#This Row],[Exit Date]]&lt;&gt;"",(emp_db[[#This Row],[Exit Date]]-emp_db[[#This Row],[Column1]])/365,IF(emp_db[[#This Row],[ID]]&lt;&gt;"",(TODAY()-emp_db[[#This Row],[Column1]])/365,""))</f>
        <v/>
      </c>
      <c r="R733" s="42" t="str">
        <f ca="1">IF(emp_db[[#This Row],[Date of Birth]]&lt;&gt;"",(TODAY()-emp_db[[#This Row],[Date of Birth]])/365,"")</f>
        <v/>
      </c>
      <c r="S733" s="42">
        <f>YEAR(emp_db[[#This Row],[Column1]])</f>
        <v>1900</v>
      </c>
      <c r="T733" s="42">
        <f>MONTH(emp_db[[#This Row],[Column1]])</f>
        <v>1</v>
      </c>
      <c r="U733" s="42">
        <f>IFERROR(YEAR(emp_db[[#This Row],[Exit Date]]),"")</f>
        <v>1900</v>
      </c>
      <c r="V733" s="42">
        <f>IFERROR(MONTH(emp_db[[#This Row],[Exit Date]]),"")</f>
        <v>1</v>
      </c>
    </row>
    <row r="734" spans="2:22">
      <c r="B734" s="39"/>
      <c r="C734" s="39"/>
      <c r="D734" s="39"/>
      <c r="E734" s="39"/>
      <c r="F734" s="40"/>
      <c r="G734" s="38"/>
      <c r="H734" s="43"/>
      <c r="I734" s="43"/>
      <c r="J734" s="39"/>
      <c r="K734" s="38"/>
      <c r="L734" s="39"/>
      <c r="M734" s="39"/>
      <c r="N734" s="43"/>
      <c r="O734" s="38"/>
      <c r="P734" s="38"/>
      <c r="Q734" s="41" t="str">
        <f ca="1">IF(emp_db[[#This Row],[Exit Date]]&lt;&gt;"",(emp_db[[#This Row],[Exit Date]]-emp_db[[#This Row],[Column1]])/365,IF(emp_db[[#This Row],[ID]]&lt;&gt;"",(TODAY()-emp_db[[#This Row],[Column1]])/365,""))</f>
        <v/>
      </c>
      <c r="R734" s="42" t="str">
        <f ca="1">IF(emp_db[[#This Row],[Date of Birth]]&lt;&gt;"",(TODAY()-emp_db[[#This Row],[Date of Birth]])/365,"")</f>
        <v/>
      </c>
      <c r="S734" s="42">
        <f>YEAR(emp_db[[#This Row],[Column1]])</f>
        <v>1900</v>
      </c>
      <c r="T734" s="42">
        <f>MONTH(emp_db[[#This Row],[Column1]])</f>
        <v>1</v>
      </c>
      <c r="U734" s="42">
        <f>IFERROR(YEAR(emp_db[[#This Row],[Exit Date]]),"")</f>
        <v>1900</v>
      </c>
      <c r="V734" s="42">
        <f>IFERROR(MONTH(emp_db[[#This Row],[Exit Date]]),"")</f>
        <v>1</v>
      </c>
    </row>
    <row r="735" spans="2:22">
      <c r="B735" s="39"/>
      <c r="C735" s="39"/>
      <c r="D735" s="39"/>
      <c r="E735" s="39"/>
      <c r="F735" s="40"/>
      <c r="G735" s="38"/>
      <c r="H735" s="43"/>
      <c r="I735" s="43"/>
      <c r="J735" s="39"/>
      <c r="K735" s="38"/>
      <c r="L735" s="39"/>
      <c r="M735" s="39"/>
      <c r="N735" s="43"/>
      <c r="O735" s="38"/>
      <c r="P735" s="38"/>
      <c r="Q735" s="41" t="str">
        <f ca="1">IF(emp_db[[#This Row],[Exit Date]]&lt;&gt;"",(emp_db[[#This Row],[Exit Date]]-emp_db[[#This Row],[Column1]])/365,IF(emp_db[[#This Row],[ID]]&lt;&gt;"",(TODAY()-emp_db[[#This Row],[Column1]])/365,""))</f>
        <v/>
      </c>
      <c r="R735" s="42" t="str">
        <f ca="1">IF(emp_db[[#This Row],[Date of Birth]]&lt;&gt;"",(TODAY()-emp_db[[#This Row],[Date of Birth]])/365,"")</f>
        <v/>
      </c>
      <c r="S735" s="42">
        <f>YEAR(emp_db[[#This Row],[Column1]])</f>
        <v>1900</v>
      </c>
      <c r="T735" s="42">
        <f>MONTH(emp_db[[#This Row],[Column1]])</f>
        <v>1</v>
      </c>
      <c r="U735" s="42">
        <f>IFERROR(YEAR(emp_db[[#This Row],[Exit Date]]),"")</f>
        <v>1900</v>
      </c>
      <c r="V735" s="42">
        <f>IFERROR(MONTH(emp_db[[#This Row],[Exit Date]]),"")</f>
        <v>1</v>
      </c>
    </row>
    <row r="736" spans="2:22">
      <c r="B736" s="39"/>
      <c r="C736" s="39"/>
      <c r="D736" s="39"/>
      <c r="E736" s="39"/>
      <c r="F736" s="40"/>
      <c r="G736" s="38"/>
      <c r="H736" s="43"/>
      <c r="I736" s="43"/>
      <c r="J736" s="39"/>
      <c r="K736" s="38"/>
      <c r="L736" s="39"/>
      <c r="M736" s="39"/>
      <c r="N736" s="43"/>
      <c r="O736" s="38"/>
      <c r="P736" s="38"/>
      <c r="Q736" s="41" t="str">
        <f ca="1">IF(emp_db[[#This Row],[Exit Date]]&lt;&gt;"",(emp_db[[#This Row],[Exit Date]]-emp_db[[#This Row],[Column1]])/365,IF(emp_db[[#This Row],[ID]]&lt;&gt;"",(TODAY()-emp_db[[#This Row],[Column1]])/365,""))</f>
        <v/>
      </c>
      <c r="R736" s="42" t="str">
        <f ca="1">IF(emp_db[[#This Row],[Date of Birth]]&lt;&gt;"",(TODAY()-emp_db[[#This Row],[Date of Birth]])/365,"")</f>
        <v/>
      </c>
      <c r="S736" s="42">
        <f>YEAR(emp_db[[#This Row],[Column1]])</f>
        <v>1900</v>
      </c>
      <c r="T736" s="42">
        <f>MONTH(emp_db[[#This Row],[Column1]])</f>
        <v>1</v>
      </c>
      <c r="U736" s="42">
        <f>IFERROR(YEAR(emp_db[[#This Row],[Exit Date]]),"")</f>
        <v>1900</v>
      </c>
      <c r="V736" s="42">
        <f>IFERROR(MONTH(emp_db[[#This Row],[Exit Date]]),"")</f>
        <v>1</v>
      </c>
    </row>
    <row r="737" spans="2:22">
      <c r="B737" s="39"/>
      <c r="C737" s="39"/>
      <c r="D737" s="39"/>
      <c r="E737" s="39"/>
      <c r="F737" s="40"/>
      <c r="G737" s="38"/>
      <c r="H737" s="43"/>
      <c r="I737" s="43"/>
      <c r="J737" s="39"/>
      <c r="K737" s="38"/>
      <c r="L737" s="39"/>
      <c r="M737" s="39"/>
      <c r="N737" s="43"/>
      <c r="O737" s="38"/>
      <c r="P737" s="38"/>
      <c r="Q737" s="41" t="str">
        <f ca="1">IF(emp_db[[#This Row],[Exit Date]]&lt;&gt;"",(emp_db[[#This Row],[Exit Date]]-emp_db[[#This Row],[Column1]])/365,IF(emp_db[[#This Row],[ID]]&lt;&gt;"",(TODAY()-emp_db[[#This Row],[Column1]])/365,""))</f>
        <v/>
      </c>
      <c r="R737" s="42" t="str">
        <f ca="1">IF(emp_db[[#This Row],[Date of Birth]]&lt;&gt;"",(TODAY()-emp_db[[#This Row],[Date of Birth]])/365,"")</f>
        <v/>
      </c>
      <c r="S737" s="42">
        <f>YEAR(emp_db[[#This Row],[Column1]])</f>
        <v>1900</v>
      </c>
      <c r="T737" s="42">
        <f>MONTH(emp_db[[#This Row],[Column1]])</f>
        <v>1</v>
      </c>
      <c r="U737" s="42">
        <f>IFERROR(YEAR(emp_db[[#This Row],[Exit Date]]),"")</f>
        <v>1900</v>
      </c>
      <c r="V737" s="42">
        <f>IFERROR(MONTH(emp_db[[#This Row],[Exit Date]]),"")</f>
        <v>1</v>
      </c>
    </row>
    <row r="738" spans="2:22">
      <c r="B738" s="39"/>
      <c r="C738" s="39"/>
      <c r="D738" s="39"/>
      <c r="E738" s="39"/>
      <c r="F738" s="40"/>
      <c r="G738" s="38"/>
      <c r="H738" s="43"/>
      <c r="I738" s="43"/>
      <c r="J738" s="39"/>
      <c r="K738" s="38"/>
      <c r="L738" s="39"/>
      <c r="M738" s="39"/>
      <c r="N738" s="43"/>
      <c r="O738" s="38"/>
      <c r="P738" s="38"/>
      <c r="Q738" s="41" t="str">
        <f ca="1">IF(emp_db[[#This Row],[Exit Date]]&lt;&gt;"",(emp_db[[#This Row],[Exit Date]]-emp_db[[#This Row],[Column1]])/365,IF(emp_db[[#This Row],[ID]]&lt;&gt;"",(TODAY()-emp_db[[#This Row],[Column1]])/365,""))</f>
        <v/>
      </c>
      <c r="R738" s="42" t="str">
        <f ca="1">IF(emp_db[[#This Row],[Date of Birth]]&lt;&gt;"",(TODAY()-emp_db[[#This Row],[Date of Birth]])/365,"")</f>
        <v/>
      </c>
      <c r="S738" s="42">
        <f>YEAR(emp_db[[#This Row],[Column1]])</f>
        <v>1900</v>
      </c>
      <c r="T738" s="42">
        <f>MONTH(emp_db[[#This Row],[Column1]])</f>
        <v>1</v>
      </c>
      <c r="U738" s="42">
        <f>IFERROR(YEAR(emp_db[[#This Row],[Exit Date]]),"")</f>
        <v>1900</v>
      </c>
      <c r="V738" s="42">
        <f>IFERROR(MONTH(emp_db[[#This Row],[Exit Date]]),"")</f>
        <v>1</v>
      </c>
    </row>
    <row r="739" spans="2:22">
      <c r="B739" s="39"/>
      <c r="C739" s="39"/>
      <c r="D739" s="39"/>
      <c r="E739" s="39"/>
      <c r="F739" s="40"/>
      <c r="G739" s="38"/>
      <c r="H739" s="43"/>
      <c r="I739" s="43"/>
      <c r="J739" s="39"/>
      <c r="K739" s="38"/>
      <c r="L739" s="39"/>
      <c r="M739" s="39"/>
      <c r="N739" s="43"/>
      <c r="O739" s="38"/>
      <c r="P739" s="38"/>
      <c r="Q739" s="41" t="str">
        <f ca="1">IF(emp_db[[#This Row],[Exit Date]]&lt;&gt;"",(emp_db[[#This Row],[Exit Date]]-emp_db[[#This Row],[Column1]])/365,IF(emp_db[[#This Row],[ID]]&lt;&gt;"",(TODAY()-emp_db[[#This Row],[Column1]])/365,""))</f>
        <v/>
      </c>
      <c r="R739" s="42" t="str">
        <f ca="1">IF(emp_db[[#This Row],[Date of Birth]]&lt;&gt;"",(TODAY()-emp_db[[#This Row],[Date of Birth]])/365,"")</f>
        <v/>
      </c>
      <c r="S739" s="42">
        <f>YEAR(emp_db[[#This Row],[Column1]])</f>
        <v>1900</v>
      </c>
      <c r="T739" s="42">
        <f>MONTH(emp_db[[#This Row],[Column1]])</f>
        <v>1</v>
      </c>
      <c r="U739" s="42">
        <f>IFERROR(YEAR(emp_db[[#This Row],[Exit Date]]),"")</f>
        <v>1900</v>
      </c>
      <c r="V739" s="42">
        <f>IFERROR(MONTH(emp_db[[#This Row],[Exit Date]]),"")</f>
        <v>1</v>
      </c>
    </row>
    <row r="740" spans="2:22">
      <c r="B740" s="39"/>
      <c r="C740" s="39"/>
      <c r="D740" s="39"/>
      <c r="E740" s="39"/>
      <c r="F740" s="40"/>
      <c r="G740" s="38"/>
      <c r="H740" s="43"/>
      <c r="I740" s="43"/>
      <c r="J740" s="39"/>
      <c r="K740" s="38"/>
      <c r="L740" s="39"/>
      <c r="M740" s="39"/>
      <c r="N740" s="43"/>
      <c r="O740" s="38"/>
      <c r="P740" s="38"/>
      <c r="Q740" s="41" t="str">
        <f ca="1">IF(emp_db[[#This Row],[Exit Date]]&lt;&gt;"",(emp_db[[#This Row],[Exit Date]]-emp_db[[#This Row],[Column1]])/365,IF(emp_db[[#This Row],[ID]]&lt;&gt;"",(TODAY()-emp_db[[#This Row],[Column1]])/365,""))</f>
        <v/>
      </c>
      <c r="R740" s="42" t="str">
        <f ca="1">IF(emp_db[[#This Row],[Date of Birth]]&lt;&gt;"",(TODAY()-emp_db[[#This Row],[Date of Birth]])/365,"")</f>
        <v/>
      </c>
      <c r="S740" s="42">
        <f>YEAR(emp_db[[#This Row],[Column1]])</f>
        <v>1900</v>
      </c>
      <c r="T740" s="42">
        <f>MONTH(emp_db[[#This Row],[Column1]])</f>
        <v>1</v>
      </c>
      <c r="U740" s="42">
        <f>IFERROR(YEAR(emp_db[[#This Row],[Exit Date]]),"")</f>
        <v>1900</v>
      </c>
      <c r="V740" s="42">
        <f>IFERROR(MONTH(emp_db[[#This Row],[Exit Date]]),"")</f>
        <v>1</v>
      </c>
    </row>
    <row r="741" spans="2:22">
      <c r="B741" s="39"/>
      <c r="C741" s="39"/>
      <c r="D741" s="39"/>
      <c r="E741" s="39"/>
      <c r="F741" s="40"/>
      <c r="G741" s="38"/>
      <c r="H741" s="43"/>
      <c r="I741" s="43"/>
      <c r="J741" s="39"/>
      <c r="K741" s="38"/>
      <c r="L741" s="39"/>
      <c r="M741" s="39"/>
      <c r="N741" s="43"/>
      <c r="O741" s="38"/>
      <c r="P741" s="38"/>
      <c r="Q741" s="41" t="str">
        <f ca="1">IF(emp_db[[#This Row],[Exit Date]]&lt;&gt;"",(emp_db[[#This Row],[Exit Date]]-emp_db[[#This Row],[Column1]])/365,IF(emp_db[[#This Row],[ID]]&lt;&gt;"",(TODAY()-emp_db[[#This Row],[Column1]])/365,""))</f>
        <v/>
      </c>
      <c r="R741" s="42" t="str">
        <f ca="1">IF(emp_db[[#This Row],[Date of Birth]]&lt;&gt;"",(TODAY()-emp_db[[#This Row],[Date of Birth]])/365,"")</f>
        <v/>
      </c>
      <c r="S741" s="42">
        <f>YEAR(emp_db[[#This Row],[Column1]])</f>
        <v>1900</v>
      </c>
      <c r="T741" s="42">
        <f>MONTH(emp_db[[#This Row],[Column1]])</f>
        <v>1</v>
      </c>
      <c r="U741" s="42">
        <f>IFERROR(YEAR(emp_db[[#This Row],[Exit Date]]),"")</f>
        <v>1900</v>
      </c>
      <c r="V741" s="42">
        <f>IFERROR(MONTH(emp_db[[#This Row],[Exit Date]]),"")</f>
        <v>1</v>
      </c>
    </row>
    <row r="742" spans="2:22">
      <c r="B742" s="39"/>
      <c r="C742" s="39"/>
      <c r="D742" s="39"/>
      <c r="E742" s="39"/>
      <c r="F742" s="40"/>
      <c r="G742" s="38"/>
      <c r="H742" s="43"/>
      <c r="I742" s="43"/>
      <c r="J742" s="39"/>
      <c r="K742" s="38"/>
      <c r="L742" s="39"/>
      <c r="M742" s="39"/>
      <c r="N742" s="43"/>
      <c r="O742" s="38"/>
      <c r="P742" s="38"/>
      <c r="Q742" s="41" t="str">
        <f ca="1">IF(emp_db[[#This Row],[Exit Date]]&lt;&gt;"",(emp_db[[#This Row],[Exit Date]]-emp_db[[#This Row],[Column1]])/365,IF(emp_db[[#This Row],[ID]]&lt;&gt;"",(TODAY()-emp_db[[#This Row],[Column1]])/365,""))</f>
        <v/>
      </c>
      <c r="R742" s="42" t="str">
        <f ca="1">IF(emp_db[[#This Row],[Date of Birth]]&lt;&gt;"",(TODAY()-emp_db[[#This Row],[Date of Birth]])/365,"")</f>
        <v/>
      </c>
      <c r="S742" s="42">
        <f>YEAR(emp_db[[#This Row],[Column1]])</f>
        <v>1900</v>
      </c>
      <c r="T742" s="42">
        <f>MONTH(emp_db[[#This Row],[Column1]])</f>
        <v>1</v>
      </c>
      <c r="U742" s="42">
        <f>IFERROR(YEAR(emp_db[[#This Row],[Exit Date]]),"")</f>
        <v>1900</v>
      </c>
      <c r="V742" s="42">
        <f>IFERROR(MONTH(emp_db[[#This Row],[Exit Date]]),"")</f>
        <v>1</v>
      </c>
    </row>
    <row r="743" spans="2:22">
      <c r="B743" s="39"/>
      <c r="C743" s="39"/>
      <c r="D743" s="39"/>
      <c r="E743" s="39"/>
      <c r="F743" s="40"/>
      <c r="G743" s="38"/>
      <c r="H743" s="43"/>
      <c r="I743" s="43"/>
      <c r="J743" s="39"/>
      <c r="K743" s="38"/>
      <c r="L743" s="39"/>
      <c r="M743" s="39"/>
      <c r="N743" s="43"/>
      <c r="O743" s="38"/>
      <c r="P743" s="38"/>
      <c r="Q743" s="41" t="str">
        <f ca="1">IF(emp_db[[#This Row],[Exit Date]]&lt;&gt;"",(emp_db[[#This Row],[Exit Date]]-emp_db[[#This Row],[Column1]])/365,IF(emp_db[[#This Row],[ID]]&lt;&gt;"",(TODAY()-emp_db[[#This Row],[Column1]])/365,""))</f>
        <v/>
      </c>
      <c r="R743" s="42" t="str">
        <f ca="1">IF(emp_db[[#This Row],[Date of Birth]]&lt;&gt;"",(TODAY()-emp_db[[#This Row],[Date of Birth]])/365,"")</f>
        <v/>
      </c>
      <c r="S743" s="42">
        <f>YEAR(emp_db[[#This Row],[Column1]])</f>
        <v>1900</v>
      </c>
      <c r="T743" s="42">
        <f>MONTH(emp_db[[#This Row],[Column1]])</f>
        <v>1</v>
      </c>
      <c r="U743" s="42">
        <f>IFERROR(YEAR(emp_db[[#This Row],[Exit Date]]),"")</f>
        <v>1900</v>
      </c>
      <c r="V743" s="42">
        <f>IFERROR(MONTH(emp_db[[#This Row],[Exit Date]]),"")</f>
        <v>1</v>
      </c>
    </row>
    <row r="744" spans="2:22">
      <c r="B744" s="39"/>
      <c r="C744" s="39"/>
      <c r="D744" s="39"/>
      <c r="E744" s="39"/>
      <c r="F744" s="40"/>
      <c r="G744" s="38"/>
      <c r="H744" s="43"/>
      <c r="I744" s="43"/>
      <c r="J744" s="39"/>
      <c r="K744" s="38"/>
      <c r="L744" s="39"/>
      <c r="M744" s="39"/>
      <c r="N744" s="43"/>
      <c r="O744" s="38"/>
      <c r="P744" s="38"/>
      <c r="Q744" s="41" t="str">
        <f ca="1">IF(emp_db[[#This Row],[Exit Date]]&lt;&gt;"",(emp_db[[#This Row],[Exit Date]]-emp_db[[#This Row],[Column1]])/365,IF(emp_db[[#This Row],[ID]]&lt;&gt;"",(TODAY()-emp_db[[#This Row],[Column1]])/365,""))</f>
        <v/>
      </c>
      <c r="R744" s="42" t="str">
        <f ca="1">IF(emp_db[[#This Row],[Date of Birth]]&lt;&gt;"",(TODAY()-emp_db[[#This Row],[Date of Birth]])/365,"")</f>
        <v/>
      </c>
      <c r="S744" s="42">
        <f>YEAR(emp_db[[#This Row],[Column1]])</f>
        <v>1900</v>
      </c>
      <c r="T744" s="42">
        <f>MONTH(emp_db[[#This Row],[Column1]])</f>
        <v>1</v>
      </c>
      <c r="U744" s="42">
        <f>IFERROR(YEAR(emp_db[[#This Row],[Exit Date]]),"")</f>
        <v>1900</v>
      </c>
      <c r="V744" s="42">
        <f>IFERROR(MONTH(emp_db[[#This Row],[Exit Date]]),"")</f>
        <v>1</v>
      </c>
    </row>
    <row r="745" spans="2:22">
      <c r="B745" s="39"/>
      <c r="C745" s="39"/>
      <c r="D745" s="39"/>
      <c r="E745" s="39"/>
      <c r="F745" s="40"/>
      <c r="G745" s="38"/>
      <c r="H745" s="43"/>
      <c r="I745" s="43"/>
      <c r="J745" s="39"/>
      <c r="K745" s="38"/>
      <c r="L745" s="39"/>
      <c r="M745" s="39"/>
      <c r="N745" s="43"/>
      <c r="O745" s="38"/>
      <c r="P745" s="38"/>
      <c r="Q745" s="41" t="str">
        <f ca="1">IF(emp_db[[#This Row],[Exit Date]]&lt;&gt;"",(emp_db[[#This Row],[Exit Date]]-emp_db[[#This Row],[Column1]])/365,IF(emp_db[[#This Row],[ID]]&lt;&gt;"",(TODAY()-emp_db[[#This Row],[Column1]])/365,""))</f>
        <v/>
      </c>
      <c r="R745" s="42" t="str">
        <f ca="1">IF(emp_db[[#This Row],[Date of Birth]]&lt;&gt;"",(TODAY()-emp_db[[#This Row],[Date of Birth]])/365,"")</f>
        <v/>
      </c>
      <c r="S745" s="42">
        <f>YEAR(emp_db[[#This Row],[Column1]])</f>
        <v>1900</v>
      </c>
      <c r="T745" s="42">
        <f>MONTH(emp_db[[#This Row],[Column1]])</f>
        <v>1</v>
      </c>
      <c r="U745" s="42">
        <f>IFERROR(YEAR(emp_db[[#This Row],[Exit Date]]),"")</f>
        <v>1900</v>
      </c>
      <c r="V745" s="42">
        <f>IFERROR(MONTH(emp_db[[#This Row],[Exit Date]]),"")</f>
        <v>1</v>
      </c>
    </row>
    <row r="746" spans="2:22">
      <c r="B746" s="39"/>
      <c r="C746" s="39"/>
      <c r="D746" s="39"/>
      <c r="E746" s="39"/>
      <c r="F746" s="40"/>
      <c r="G746" s="38"/>
      <c r="H746" s="43"/>
      <c r="I746" s="43"/>
      <c r="J746" s="39"/>
      <c r="K746" s="38"/>
      <c r="L746" s="39"/>
      <c r="M746" s="39"/>
      <c r="N746" s="43"/>
      <c r="O746" s="38"/>
      <c r="P746" s="38"/>
      <c r="Q746" s="41" t="str">
        <f ca="1">IF(emp_db[[#This Row],[Exit Date]]&lt;&gt;"",(emp_db[[#This Row],[Exit Date]]-emp_db[[#This Row],[Column1]])/365,IF(emp_db[[#This Row],[ID]]&lt;&gt;"",(TODAY()-emp_db[[#This Row],[Column1]])/365,""))</f>
        <v/>
      </c>
      <c r="R746" s="42" t="str">
        <f ca="1">IF(emp_db[[#This Row],[Date of Birth]]&lt;&gt;"",(TODAY()-emp_db[[#This Row],[Date of Birth]])/365,"")</f>
        <v/>
      </c>
      <c r="S746" s="42">
        <f>YEAR(emp_db[[#This Row],[Column1]])</f>
        <v>1900</v>
      </c>
      <c r="T746" s="42">
        <f>MONTH(emp_db[[#This Row],[Column1]])</f>
        <v>1</v>
      </c>
      <c r="U746" s="42">
        <f>IFERROR(YEAR(emp_db[[#This Row],[Exit Date]]),"")</f>
        <v>1900</v>
      </c>
      <c r="V746" s="42">
        <f>IFERROR(MONTH(emp_db[[#This Row],[Exit Date]]),"")</f>
        <v>1</v>
      </c>
    </row>
    <row r="747" spans="2:22">
      <c r="B747" s="39"/>
      <c r="C747" s="39"/>
      <c r="D747" s="39"/>
      <c r="E747" s="39"/>
      <c r="F747" s="40"/>
      <c r="G747" s="38"/>
      <c r="H747" s="43"/>
      <c r="I747" s="43"/>
      <c r="J747" s="39"/>
      <c r="K747" s="38"/>
      <c r="L747" s="39"/>
      <c r="M747" s="39"/>
      <c r="N747" s="43"/>
      <c r="O747" s="38"/>
      <c r="P747" s="38"/>
      <c r="Q747" s="41" t="str">
        <f ca="1">IF(emp_db[[#This Row],[Exit Date]]&lt;&gt;"",(emp_db[[#This Row],[Exit Date]]-emp_db[[#This Row],[Column1]])/365,IF(emp_db[[#This Row],[ID]]&lt;&gt;"",(TODAY()-emp_db[[#This Row],[Column1]])/365,""))</f>
        <v/>
      </c>
      <c r="R747" s="42" t="str">
        <f ca="1">IF(emp_db[[#This Row],[Date of Birth]]&lt;&gt;"",(TODAY()-emp_db[[#This Row],[Date of Birth]])/365,"")</f>
        <v/>
      </c>
      <c r="S747" s="42">
        <f>YEAR(emp_db[[#This Row],[Column1]])</f>
        <v>1900</v>
      </c>
      <c r="T747" s="42">
        <f>MONTH(emp_db[[#This Row],[Column1]])</f>
        <v>1</v>
      </c>
      <c r="U747" s="42">
        <f>IFERROR(YEAR(emp_db[[#This Row],[Exit Date]]),"")</f>
        <v>1900</v>
      </c>
      <c r="V747" s="42">
        <f>IFERROR(MONTH(emp_db[[#This Row],[Exit Date]]),"")</f>
        <v>1</v>
      </c>
    </row>
    <row r="748" spans="2:22">
      <c r="B748" s="39"/>
      <c r="C748" s="39"/>
      <c r="D748" s="39"/>
      <c r="E748" s="39"/>
      <c r="F748" s="40"/>
      <c r="G748" s="38"/>
      <c r="H748" s="43"/>
      <c r="I748" s="43"/>
      <c r="J748" s="39"/>
      <c r="K748" s="38"/>
      <c r="L748" s="39"/>
      <c r="M748" s="39"/>
      <c r="N748" s="43"/>
      <c r="O748" s="38"/>
      <c r="P748" s="38"/>
      <c r="Q748" s="41" t="str">
        <f ca="1">IF(emp_db[[#This Row],[Exit Date]]&lt;&gt;"",(emp_db[[#This Row],[Exit Date]]-emp_db[[#This Row],[Column1]])/365,IF(emp_db[[#This Row],[ID]]&lt;&gt;"",(TODAY()-emp_db[[#This Row],[Column1]])/365,""))</f>
        <v/>
      </c>
      <c r="R748" s="42" t="str">
        <f ca="1">IF(emp_db[[#This Row],[Date of Birth]]&lt;&gt;"",(TODAY()-emp_db[[#This Row],[Date of Birth]])/365,"")</f>
        <v/>
      </c>
      <c r="S748" s="42">
        <f>YEAR(emp_db[[#This Row],[Column1]])</f>
        <v>1900</v>
      </c>
      <c r="T748" s="42">
        <f>MONTH(emp_db[[#This Row],[Column1]])</f>
        <v>1</v>
      </c>
      <c r="U748" s="42">
        <f>IFERROR(YEAR(emp_db[[#This Row],[Exit Date]]),"")</f>
        <v>1900</v>
      </c>
      <c r="V748" s="42">
        <f>IFERROR(MONTH(emp_db[[#This Row],[Exit Date]]),"")</f>
        <v>1</v>
      </c>
    </row>
    <row r="749" spans="2:22">
      <c r="B749" s="39"/>
      <c r="C749" s="39"/>
      <c r="D749" s="39"/>
      <c r="E749" s="39"/>
      <c r="F749" s="40"/>
      <c r="G749" s="38"/>
      <c r="H749" s="43"/>
      <c r="I749" s="43"/>
      <c r="J749" s="39"/>
      <c r="K749" s="38"/>
      <c r="L749" s="39"/>
      <c r="M749" s="39"/>
      <c r="N749" s="43"/>
      <c r="O749" s="38"/>
      <c r="P749" s="38"/>
      <c r="Q749" s="41" t="str">
        <f ca="1">IF(emp_db[[#This Row],[Exit Date]]&lt;&gt;"",(emp_db[[#This Row],[Exit Date]]-emp_db[[#This Row],[Column1]])/365,IF(emp_db[[#This Row],[ID]]&lt;&gt;"",(TODAY()-emp_db[[#This Row],[Column1]])/365,""))</f>
        <v/>
      </c>
      <c r="R749" s="42" t="str">
        <f ca="1">IF(emp_db[[#This Row],[Date of Birth]]&lt;&gt;"",(TODAY()-emp_db[[#This Row],[Date of Birth]])/365,"")</f>
        <v/>
      </c>
      <c r="S749" s="42">
        <f>YEAR(emp_db[[#This Row],[Column1]])</f>
        <v>1900</v>
      </c>
      <c r="T749" s="42">
        <f>MONTH(emp_db[[#This Row],[Column1]])</f>
        <v>1</v>
      </c>
      <c r="U749" s="42">
        <f>IFERROR(YEAR(emp_db[[#This Row],[Exit Date]]),"")</f>
        <v>1900</v>
      </c>
      <c r="V749" s="42">
        <f>IFERROR(MONTH(emp_db[[#This Row],[Exit Date]]),"")</f>
        <v>1</v>
      </c>
    </row>
    <row r="750" spans="2:22">
      <c r="B750" s="39"/>
      <c r="C750" s="39"/>
      <c r="D750" s="39"/>
      <c r="E750" s="39"/>
      <c r="F750" s="40"/>
      <c r="G750" s="38"/>
      <c r="H750" s="43"/>
      <c r="I750" s="43"/>
      <c r="J750" s="39"/>
      <c r="K750" s="38"/>
      <c r="L750" s="39"/>
      <c r="M750" s="39"/>
      <c r="N750" s="43"/>
      <c r="O750" s="38"/>
      <c r="P750" s="38"/>
      <c r="Q750" s="41" t="str">
        <f ca="1">IF(emp_db[[#This Row],[Exit Date]]&lt;&gt;"",(emp_db[[#This Row],[Exit Date]]-emp_db[[#This Row],[Column1]])/365,IF(emp_db[[#This Row],[ID]]&lt;&gt;"",(TODAY()-emp_db[[#This Row],[Column1]])/365,""))</f>
        <v/>
      </c>
      <c r="R750" s="42" t="str">
        <f ca="1">IF(emp_db[[#This Row],[Date of Birth]]&lt;&gt;"",(TODAY()-emp_db[[#This Row],[Date of Birth]])/365,"")</f>
        <v/>
      </c>
      <c r="S750" s="42">
        <f>YEAR(emp_db[[#This Row],[Column1]])</f>
        <v>1900</v>
      </c>
      <c r="T750" s="42">
        <f>MONTH(emp_db[[#This Row],[Column1]])</f>
        <v>1</v>
      </c>
      <c r="U750" s="42">
        <f>IFERROR(YEAR(emp_db[[#This Row],[Exit Date]]),"")</f>
        <v>1900</v>
      </c>
      <c r="V750" s="42">
        <f>IFERROR(MONTH(emp_db[[#This Row],[Exit Date]]),"")</f>
        <v>1</v>
      </c>
    </row>
    <row r="751" spans="2:22">
      <c r="B751" s="39"/>
      <c r="C751" s="39"/>
      <c r="D751" s="39"/>
      <c r="E751" s="39"/>
      <c r="F751" s="40"/>
      <c r="G751" s="38"/>
      <c r="H751" s="43"/>
      <c r="I751" s="43"/>
      <c r="J751" s="39"/>
      <c r="K751" s="38"/>
      <c r="L751" s="39"/>
      <c r="M751" s="39"/>
      <c r="N751" s="43"/>
      <c r="O751" s="38"/>
      <c r="P751" s="38"/>
      <c r="Q751" s="41" t="str">
        <f ca="1">IF(emp_db[[#This Row],[Exit Date]]&lt;&gt;"",(emp_db[[#This Row],[Exit Date]]-emp_db[[#This Row],[Column1]])/365,IF(emp_db[[#This Row],[ID]]&lt;&gt;"",(TODAY()-emp_db[[#This Row],[Column1]])/365,""))</f>
        <v/>
      </c>
      <c r="R751" s="42" t="str">
        <f ca="1">IF(emp_db[[#This Row],[Date of Birth]]&lt;&gt;"",(TODAY()-emp_db[[#This Row],[Date of Birth]])/365,"")</f>
        <v/>
      </c>
      <c r="S751" s="42">
        <f>YEAR(emp_db[[#This Row],[Column1]])</f>
        <v>1900</v>
      </c>
      <c r="T751" s="42">
        <f>MONTH(emp_db[[#This Row],[Column1]])</f>
        <v>1</v>
      </c>
      <c r="U751" s="42">
        <f>IFERROR(YEAR(emp_db[[#This Row],[Exit Date]]),"")</f>
        <v>1900</v>
      </c>
      <c r="V751" s="42">
        <f>IFERROR(MONTH(emp_db[[#This Row],[Exit Date]]),"")</f>
        <v>1</v>
      </c>
    </row>
    <row r="752" spans="2:22">
      <c r="B752" s="39"/>
      <c r="C752" s="39"/>
      <c r="D752" s="39"/>
      <c r="E752" s="39"/>
      <c r="F752" s="40"/>
      <c r="G752" s="38"/>
      <c r="H752" s="43"/>
      <c r="I752" s="43"/>
      <c r="J752" s="39"/>
      <c r="K752" s="38"/>
      <c r="L752" s="39"/>
      <c r="M752" s="39"/>
      <c r="N752" s="43"/>
      <c r="O752" s="38"/>
      <c r="P752" s="38"/>
      <c r="Q752" s="41" t="str">
        <f ca="1">IF(emp_db[[#This Row],[Exit Date]]&lt;&gt;"",(emp_db[[#This Row],[Exit Date]]-emp_db[[#This Row],[Column1]])/365,IF(emp_db[[#This Row],[ID]]&lt;&gt;"",(TODAY()-emp_db[[#This Row],[Column1]])/365,""))</f>
        <v/>
      </c>
      <c r="R752" s="42" t="str">
        <f ca="1">IF(emp_db[[#This Row],[Date of Birth]]&lt;&gt;"",(TODAY()-emp_db[[#This Row],[Date of Birth]])/365,"")</f>
        <v/>
      </c>
      <c r="S752" s="42">
        <f>YEAR(emp_db[[#This Row],[Column1]])</f>
        <v>1900</v>
      </c>
      <c r="T752" s="42">
        <f>MONTH(emp_db[[#This Row],[Column1]])</f>
        <v>1</v>
      </c>
      <c r="U752" s="42">
        <f>IFERROR(YEAR(emp_db[[#This Row],[Exit Date]]),"")</f>
        <v>1900</v>
      </c>
      <c r="V752" s="42">
        <f>IFERROR(MONTH(emp_db[[#This Row],[Exit Date]]),"")</f>
        <v>1</v>
      </c>
    </row>
    <row r="753" spans="2:22">
      <c r="B753" s="39"/>
      <c r="C753" s="39"/>
      <c r="D753" s="39"/>
      <c r="E753" s="39"/>
      <c r="F753" s="40"/>
      <c r="G753" s="38"/>
      <c r="H753" s="43"/>
      <c r="I753" s="43"/>
      <c r="J753" s="39"/>
      <c r="K753" s="38"/>
      <c r="L753" s="39"/>
      <c r="M753" s="39"/>
      <c r="N753" s="43"/>
      <c r="O753" s="38"/>
      <c r="P753" s="38"/>
      <c r="Q753" s="41" t="str">
        <f ca="1">IF(emp_db[[#This Row],[Exit Date]]&lt;&gt;"",(emp_db[[#This Row],[Exit Date]]-emp_db[[#This Row],[Column1]])/365,IF(emp_db[[#This Row],[ID]]&lt;&gt;"",(TODAY()-emp_db[[#This Row],[Column1]])/365,""))</f>
        <v/>
      </c>
      <c r="R753" s="42" t="str">
        <f ca="1">IF(emp_db[[#This Row],[Date of Birth]]&lt;&gt;"",(TODAY()-emp_db[[#This Row],[Date of Birth]])/365,"")</f>
        <v/>
      </c>
      <c r="S753" s="42">
        <f>YEAR(emp_db[[#This Row],[Column1]])</f>
        <v>1900</v>
      </c>
      <c r="T753" s="42">
        <f>MONTH(emp_db[[#This Row],[Column1]])</f>
        <v>1</v>
      </c>
      <c r="U753" s="42">
        <f>IFERROR(YEAR(emp_db[[#This Row],[Exit Date]]),"")</f>
        <v>1900</v>
      </c>
      <c r="V753" s="42">
        <f>IFERROR(MONTH(emp_db[[#This Row],[Exit Date]]),"")</f>
        <v>1</v>
      </c>
    </row>
    <row r="754" spans="2:22">
      <c r="B754" s="39"/>
      <c r="C754" s="39"/>
      <c r="D754" s="39"/>
      <c r="E754" s="39"/>
      <c r="F754" s="40"/>
      <c r="G754" s="38"/>
      <c r="H754" s="43"/>
      <c r="I754" s="43"/>
      <c r="J754" s="39"/>
      <c r="K754" s="38"/>
      <c r="L754" s="39"/>
      <c r="M754" s="39"/>
      <c r="N754" s="43"/>
      <c r="O754" s="38"/>
      <c r="P754" s="38"/>
      <c r="Q754" s="41" t="str">
        <f ca="1">IF(emp_db[[#This Row],[Exit Date]]&lt;&gt;"",(emp_db[[#This Row],[Exit Date]]-emp_db[[#This Row],[Column1]])/365,IF(emp_db[[#This Row],[ID]]&lt;&gt;"",(TODAY()-emp_db[[#This Row],[Column1]])/365,""))</f>
        <v/>
      </c>
      <c r="R754" s="42" t="str">
        <f ca="1">IF(emp_db[[#This Row],[Date of Birth]]&lt;&gt;"",(TODAY()-emp_db[[#This Row],[Date of Birth]])/365,"")</f>
        <v/>
      </c>
      <c r="S754" s="42">
        <f>YEAR(emp_db[[#This Row],[Column1]])</f>
        <v>1900</v>
      </c>
      <c r="T754" s="42">
        <f>MONTH(emp_db[[#This Row],[Column1]])</f>
        <v>1</v>
      </c>
      <c r="U754" s="42">
        <f>IFERROR(YEAR(emp_db[[#This Row],[Exit Date]]),"")</f>
        <v>1900</v>
      </c>
      <c r="V754" s="42">
        <f>IFERROR(MONTH(emp_db[[#This Row],[Exit Date]]),"")</f>
        <v>1</v>
      </c>
    </row>
    <row r="755" spans="2:22">
      <c r="B755" s="39"/>
      <c r="C755" s="39"/>
      <c r="D755" s="39"/>
      <c r="E755" s="39"/>
      <c r="F755" s="40"/>
      <c r="G755" s="38"/>
      <c r="H755" s="43"/>
      <c r="I755" s="43"/>
      <c r="J755" s="39"/>
      <c r="K755" s="38"/>
      <c r="L755" s="39"/>
      <c r="M755" s="39"/>
      <c r="N755" s="43"/>
      <c r="O755" s="38"/>
      <c r="P755" s="38"/>
      <c r="Q755" s="41" t="str">
        <f ca="1">IF(emp_db[[#This Row],[Exit Date]]&lt;&gt;"",(emp_db[[#This Row],[Exit Date]]-emp_db[[#This Row],[Column1]])/365,IF(emp_db[[#This Row],[ID]]&lt;&gt;"",(TODAY()-emp_db[[#This Row],[Column1]])/365,""))</f>
        <v/>
      </c>
      <c r="R755" s="42" t="str">
        <f ca="1">IF(emp_db[[#This Row],[Date of Birth]]&lt;&gt;"",(TODAY()-emp_db[[#This Row],[Date of Birth]])/365,"")</f>
        <v/>
      </c>
      <c r="S755" s="42">
        <f>YEAR(emp_db[[#This Row],[Column1]])</f>
        <v>1900</v>
      </c>
      <c r="T755" s="42">
        <f>MONTH(emp_db[[#This Row],[Column1]])</f>
        <v>1</v>
      </c>
      <c r="U755" s="42">
        <f>IFERROR(YEAR(emp_db[[#This Row],[Exit Date]]),"")</f>
        <v>1900</v>
      </c>
      <c r="V755" s="42">
        <f>IFERROR(MONTH(emp_db[[#This Row],[Exit Date]]),"")</f>
        <v>1</v>
      </c>
    </row>
    <row r="756" spans="2:22">
      <c r="B756" s="39"/>
      <c r="C756" s="39"/>
      <c r="D756" s="39"/>
      <c r="E756" s="39"/>
      <c r="F756" s="40"/>
      <c r="G756" s="38"/>
      <c r="H756" s="43"/>
      <c r="I756" s="43"/>
      <c r="J756" s="39"/>
      <c r="K756" s="38"/>
      <c r="L756" s="39"/>
      <c r="M756" s="39"/>
      <c r="N756" s="43"/>
      <c r="O756" s="38"/>
      <c r="P756" s="38"/>
      <c r="Q756" s="41" t="str">
        <f ca="1">IF(emp_db[[#This Row],[Exit Date]]&lt;&gt;"",(emp_db[[#This Row],[Exit Date]]-emp_db[[#This Row],[Column1]])/365,IF(emp_db[[#This Row],[ID]]&lt;&gt;"",(TODAY()-emp_db[[#This Row],[Column1]])/365,""))</f>
        <v/>
      </c>
      <c r="R756" s="42" t="str">
        <f ca="1">IF(emp_db[[#This Row],[Date of Birth]]&lt;&gt;"",(TODAY()-emp_db[[#This Row],[Date of Birth]])/365,"")</f>
        <v/>
      </c>
      <c r="S756" s="42">
        <f>YEAR(emp_db[[#This Row],[Column1]])</f>
        <v>1900</v>
      </c>
      <c r="T756" s="42">
        <f>MONTH(emp_db[[#This Row],[Column1]])</f>
        <v>1</v>
      </c>
      <c r="U756" s="42">
        <f>IFERROR(YEAR(emp_db[[#This Row],[Exit Date]]),"")</f>
        <v>1900</v>
      </c>
      <c r="V756" s="42">
        <f>IFERROR(MONTH(emp_db[[#This Row],[Exit Date]]),"")</f>
        <v>1</v>
      </c>
    </row>
    <row r="757" spans="2:22">
      <c r="B757" s="39"/>
      <c r="C757" s="39"/>
      <c r="D757" s="39"/>
      <c r="E757" s="39"/>
      <c r="F757" s="40"/>
      <c r="G757" s="38"/>
      <c r="H757" s="43"/>
      <c r="I757" s="43"/>
      <c r="J757" s="39"/>
      <c r="K757" s="38"/>
      <c r="L757" s="39"/>
      <c r="M757" s="39"/>
      <c r="N757" s="43"/>
      <c r="O757" s="38"/>
      <c r="P757" s="38"/>
      <c r="Q757" s="41" t="str">
        <f ca="1">IF(emp_db[[#This Row],[Exit Date]]&lt;&gt;"",(emp_db[[#This Row],[Exit Date]]-emp_db[[#This Row],[Column1]])/365,IF(emp_db[[#This Row],[ID]]&lt;&gt;"",(TODAY()-emp_db[[#This Row],[Column1]])/365,""))</f>
        <v/>
      </c>
      <c r="R757" s="42" t="str">
        <f ca="1">IF(emp_db[[#This Row],[Date of Birth]]&lt;&gt;"",(TODAY()-emp_db[[#This Row],[Date of Birth]])/365,"")</f>
        <v/>
      </c>
      <c r="S757" s="42">
        <f>YEAR(emp_db[[#This Row],[Column1]])</f>
        <v>1900</v>
      </c>
      <c r="T757" s="42">
        <f>MONTH(emp_db[[#This Row],[Column1]])</f>
        <v>1</v>
      </c>
      <c r="U757" s="42">
        <f>IFERROR(YEAR(emp_db[[#This Row],[Exit Date]]),"")</f>
        <v>1900</v>
      </c>
      <c r="V757" s="42">
        <f>IFERROR(MONTH(emp_db[[#This Row],[Exit Date]]),"")</f>
        <v>1</v>
      </c>
    </row>
    <row r="758" spans="2:22">
      <c r="B758" s="39"/>
      <c r="C758" s="39"/>
      <c r="D758" s="39"/>
      <c r="E758" s="39"/>
      <c r="F758" s="40"/>
      <c r="G758" s="38"/>
      <c r="H758" s="43"/>
      <c r="I758" s="43"/>
      <c r="J758" s="39"/>
      <c r="K758" s="38"/>
      <c r="L758" s="39"/>
      <c r="M758" s="39"/>
      <c r="N758" s="43"/>
      <c r="O758" s="38"/>
      <c r="P758" s="38"/>
      <c r="Q758" s="41" t="str">
        <f ca="1">IF(emp_db[[#This Row],[Exit Date]]&lt;&gt;"",(emp_db[[#This Row],[Exit Date]]-emp_db[[#This Row],[Column1]])/365,IF(emp_db[[#This Row],[ID]]&lt;&gt;"",(TODAY()-emp_db[[#This Row],[Column1]])/365,""))</f>
        <v/>
      </c>
      <c r="R758" s="42" t="str">
        <f ca="1">IF(emp_db[[#This Row],[Date of Birth]]&lt;&gt;"",(TODAY()-emp_db[[#This Row],[Date of Birth]])/365,"")</f>
        <v/>
      </c>
      <c r="S758" s="42">
        <f>YEAR(emp_db[[#This Row],[Column1]])</f>
        <v>1900</v>
      </c>
      <c r="T758" s="42">
        <f>MONTH(emp_db[[#This Row],[Column1]])</f>
        <v>1</v>
      </c>
      <c r="U758" s="42">
        <f>IFERROR(YEAR(emp_db[[#This Row],[Exit Date]]),"")</f>
        <v>1900</v>
      </c>
      <c r="V758" s="42">
        <f>IFERROR(MONTH(emp_db[[#This Row],[Exit Date]]),"")</f>
        <v>1</v>
      </c>
    </row>
    <row r="759" spans="2:22">
      <c r="B759" s="39"/>
      <c r="C759" s="39"/>
      <c r="D759" s="39"/>
      <c r="E759" s="39"/>
      <c r="F759" s="40"/>
      <c r="G759" s="38"/>
      <c r="H759" s="43"/>
      <c r="I759" s="43"/>
      <c r="J759" s="39"/>
      <c r="K759" s="38"/>
      <c r="L759" s="39"/>
      <c r="M759" s="39"/>
      <c r="N759" s="43"/>
      <c r="O759" s="38"/>
      <c r="P759" s="38"/>
      <c r="Q759" s="41" t="str">
        <f ca="1">IF(emp_db[[#This Row],[Exit Date]]&lt;&gt;"",(emp_db[[#This Row],[Exit Date]]-emp_db[[#This Row],[Column1]])/365,IF(emp_db[[#This Row],[ID]]&lt;&gt;"",(TODAY()-emp_db[[#This Row],[Column1]])/365,""))</f>
        <v/>
      </c>
      <c r="R759" s="42" t="str">
        <f ca="1">IF(emp_db[[#This Row],[Date of Birth]]&lt;&gt;"",(TODAY()-emp_db[[#This Row],[Date of Birth]])/365,"")</f>
        <v/>
      </c>
      <c r="S759" s="42">
        <f>YEAR(emp_db[[#This Row],[Column1]])</f>
        <v>1900</v>
      </c>
      <c r="T759" s="42">
        <f>MONTH(emp_db[[#This Row],[Column1]])</f>
        <v>1</v>
      </c>
      <c r="U759" s="42">
        <f>IFERROR(YEAR(emp_db[[#This Row],[Exit Date]]),"")</f>
        <v>1900</v>
      </c>
      <c r="V759" s="42">
        <f>IFERROR(MONTH(emp_db[[#This Row],[Exit Date]]),"")</f>
        <v>1</v>
      </c>
    </row>
    <row r="760" spans="2:22">
      <c r="B760" s="39"/>
      <c r="C760" s="39"/>
      <c r="D760" s="39"/>
      <c r="E760" s="39"/>
      <c r="F760" s="40"/>
      <c r="G760" s="38"/>
      <c r="H760" s="43"/>
      <c r="I760" s="43"/>
      <c r="J760" s="39"/>
      <c r="K760" s="38"/>
      <c r="L760" s="39"/>
      <c r="M760" s="39"/>
      <c r="N760" s="43"/>
      <c r="O760" s="38"/>
      <c r="P760" s="38"/>
      <c r="Q760" s="41" t="str">
        <f ca="1">IF(emp_db[[#This Row],[Exit Date]]&lt;&gt;"",(emp_db[[#This Row],[Exit Date]]-emp_db[[#This Row],[Column1]])/365,IF(emp_db[[#This Row],[ID]]&lt;&gt;"",(TODAY()-emp_db[[#This Row],[Column1]])/365,""))</f>
        <v/>
      </c>
      <c r="R760" s="42" t="str">
        <f ca="1">IF(emp_db[[#This Row],[Date of Birth]]&lt;&gt;"",(TODAY()-emp_db[[#This Row],[Date of Birth]])/365,"")</f>
        <v/>
      </c>
      <c r="S760" s="42">
        <f>YEAR(emp_db[[#This Row],[Column1]])</f>
        <v>1900</v>
      </c>
      <c r="T760" s="42">
        <f>MONTH(emp_db[[#This Row],[Column1]])</f>
        <v>1</v>
      </c>
      <c r="U760" s="42">
        <f>IFERROR(YEAR(emp_db[[#This Row],[Exit Date]]),"")</f>
        <v>1900</v>
      </c>
      <c r="V760" s="42">
        <f>IFERROR(MONTH(emp_db[[#This Row],[Exit Date]]),"")</f>
        <v>1</v>
      </c>
    </row>
    <row r="761" spans="2:22">
      <c r="B761" s="39"/>
      <c r="C761" s="39"/>
      <c r="D761" s="39"/>
      <c r="E761" s="39"/>
      <c r="F761" s="40"/>
      <c r="G761" s="38"/>
      <c r="H761" s="43"/>
      <c r="I761" s="43"/>
      <c r="J761" s="39"/>
      <c r="K761" s="38"/>
      <c r="L761" s="39"/>
      <c r="M761" s="39"/>
      <c r="N761" s="43"/>
      <c r="O761" s="38"/>
      <c r="P761" s="38"/>
      <c r="Q761" s="41" t="str">
        <f ca="1">IF(emp_db[[#This Row],[Exit Date]]&lt;&gt;"",(emp_db[[#This Row],[Exit Date]]-emp_db[[#This Row],[Column1]])/365,IF(emp_db[[#This Row],[ID]]&lt;&gt;"",(TODAY()-emp_db[[#This Row],[Column1]])/365,""))</f>
        <v/>
      </c>
      <c r="R761" s="42" t="str">
        <f ca="1">IF(emp_db[[#This Row],[Date of Birth]]&lt;&gt;"",(TODAY()-emp_db[[#This Row],[Date of Birth]])/365,"")</f>
        <v/>
      </c>
      <c r="S761" s="42">
        <f>YEAR(emp_db[[#This Row],[Column1]])</f>
        <v>1900</v>
      </c>
      <c r="T761" s="42">
        <f>MONTH(emp_db[[#This Row],[Column1]])</f>
        <v>1</v>
      </c>
      <c r="U761" s="42">
        <f>IFERROR(YEAR(emp_db[[#This Row],[Exit Date]]),"")</f>
        <v>1900</v>
      </c>
      <c r="V761" s="42">
        <f>IFERROR(MONTH(emp_db[[#This Row],[Exit Date]]),"")</f>
        <v>1</v>
      </c>
    </row>
    <row r="762" spans="2:22">
      <c r="B762" s="39"/>
      <c r="C762" s="39"/>
      <c r="D762" s="39"/>
      <c r="E762" s="39"/>
      <c r="F762" s="40"/>
      <c r="G762" s="38"/>
      <c r="H762" s="43"/>
      <c r="I762" s="43"/>
      <c r="J762" s="39"/>
      <c r="K762" s="38"/>
      <c r="L762" s="39"/>
      <c r="M762" s="39"/>
      <c r="N762" s="43"/>
      <c r="O762" s="38"/>
      <c r="P762" s="38"/>
      <c r="Q762" s="41" t="str">
        <f ca="1">IF(emp_db[[#This Row],[Exit Date]]&lt;&gt;"",(emp_db[[#This Row],[Exit Date]]-emp_db[[#This Row],[Column1]])/365,IF(emp_db[[#This Row],[ID]]&lt;&gt;"",(TODAY()-emp_db[[#This Row],[Column1]])/365,""))</f>
        <v/>
      </c>
      <c r="R762" s="42" t="str">
        <f ca="1">IF(emp_db[[#This Row],[Date of Birth]]&lt;&gt;"",(TODAY()-emp_db[[#This Row],[Date of Birth]])/365,"")</f>
        <v/>
      </c>
      <c r="S762" s="42">
        <f>YEAR(emp_db[[#This Row],[Column1]])</f>
        <v>1900</v>
      </c>
      <c r="T762" s="42">
        <f>MONTH(emp_db[[#This Row],[Column1]])</f>
        <v>1</v>
      </c>
      <c r="U762" s="42">
        <f>IFERROR(YEAR(emp_db[[#This Row],[Exit Date]]),"")</f>
        <v>1900</v>
      </c>
      <c r="V762" s="42">
        <f>IFERROR(MONTH(emp_db[[#This Row],[Exit Date]]),"")</f>
        <v>1</v>
      </c>
    </row>
    <row r="763" spans="2:22">
      <c r="B763" s="39"/>
      <c r="C763" s="39"/>
      <c r="D763" s="39"/>
      <c r="E763" s="39"/>
      <c r="F763" s="40"/>
      <c r="G763" s="38"/>
      <c r="H763" s="43"/>
      <c r="I763" s="43"/>
      <c r="J763" s="39"/>
      <c r="K763" s="38"/>
      <c r="L763" s="39"/>
      <c r="M763" s="39"/>
      <c r="N763" s="43"/>
      <c r="O763" s="38"/>
      <c r="P763" s="38"/>
      <c r="Q763" s="41" t="str">
        <f ca="1">IF(emp_db[[#This Row],[Exit Date]]&lt;&gt;"",(emp_db[[#This Row],[Exit Date]]-emp_db[[#This Row],[Column1]])/365,IF(emp_db[[#This Row],[ID]]&lt;&gt;"",(TODAY()-emp_db[[#This Row],[Column1]])/365,""))</f>
        <v/>
      </c>
      <c r="R763" s="42" t="str">
        <f ca="1">IF(emp_db[[#This Row],[Date of Birth]]&lt;&gt;"",(TODAY()-emp_db[[#This Row],[Date of Birth]])/365,"")</f>
        <v/>
      </c>
      <c r="S763" s="42">
        <f>YEAR(emp_db[[#This Row],[Column1]])</f>
        <v>1900</v>
      </c>
      <c r="T763" s="42">
        <f>MONTH(emp_db[[#This Row],[Column1]])</f>
        <v>1</v>
      </c>
      <c r="U763" s="42">
        <f>IFERROR(YEAR(emp_db[[#This Row],[Exit Date]]),"")</f>
        <v>1900</v>
      </c>
      <c r="V763" s="42">
        <f>IFERROR(MONTH(emp_db[[#This Row],[Exit Date]]),"")</f>
        <v>1</v>
      </c>
    </row>
    <row r="764" spans="2:22">
      <c r="B764" s="39"/>
      <c r="C764" s="39"/>
      <c r="D764" s="39"/>
      <c r="E764" s="39"/>
      <c r="F764" s="40"/>
      <c r="G764" s="38"/>
      <c r="H764" s="43"/>
      <c r="I764" s="43"/>
      <c r="J764" s="39"/>
      <c r="K764" s="38"/>
      <c r="L764" s="39"/>
      <c r="M764" s="39"/>
      <c r="N764" s="43"/>
      <c r="O764" s="38"/>
      <c r="P764" s="38"/>
      <c r="Q764" s="41" t="str">
        <f ca="1">IF(emp_db[[#This Row],[Exit Date]]&lt;&gt;"",(emp_db[[#This Row],[Exit Date]]-emp_db[[#This Row],[Column1]])/365,IF(emp_db[[#This Row],[ID]]&lt;&gt;"",(TODAY()-emp_db[[#This Row],[Column1]])/365,""))</f>
        <v/>
      </c>
      <c r="R764" s="42" t="str">
        <f ca="1">IF(emp_db[[#This Row],[Date of Birth]]&lt;&gt;"",(TODAY()-emp_db[[#This Row],[Date of Birth]])/365,"")</f>
        <v/>
      </c>
      <c r="S764" s="42">
        <f>YEAR(emp_db[[#This Row],[Column1]])</f>
        <v>1900</v>
      </c>
      <c r="T764" s="42">
        <f>MONTH(emp_db[[#This Row],[Column1]])</f>
        <v>1</v>
      </c>
      <c r="U764" s="42">
        <f>IFERROR(YEAR(emp_db[[#This Row],[Exit Date]]),"")</f>
        <v>1900</v>
      </c>
      <c r="V764" s="42">
        <f>IFERROR(MONTH(emp_db[[#This Row],[Exit Date]]),"")</f>
        <v>1</v>
      </c>
    </row>
    <row r="765" spans="2:22">
      <c r="B765" s="39"/>
      <c r="C765" s="39"/>
      <c r="D765" s="39"/>
      <c r="E765" s="39"/>
      <c r="F765" s="40"/>
      <c r="G765" s="38"/>
      <c r="H765" s="43"/>
      <c r="I765" s="43"/>
      <c r="J765" s="39"/>
      <c r="K765" s="38"/>
      <c r="L765" s="39"/>
      <c r="M765" s="39"/>
      <c r="N765" s="43"/>
      <c r="O765" s="38"/>
      <c r="P765" s="38"/>
      <c r="Q765" s="41" t="str">
        <f ca="1">IF(emp_db[[#This Row],[Exit Date]]&lt;&gt;"",(emp_db[[#This Row],[Exit Date]]-emp_db[[#This Row],[Column1]])/365,IF(emp_db[[#This Row],[ID]]&lt;&gt;"",(TODAY()-emp_db[[#This Row],[Column1]])/365,""))</f>
        <v/>
      </c>
      <c r="R765" s="42" t="str">
        <f ca="1">IF(emp_db[[#This Row],[Date of Birth]]&lt;&gt;"",(TODAY()-emp_db[[#This Row],[Date of Birth]])/365,"")</f>
        <v/>
      </c>
      <c r="S765" s="42">
        <f>YEAR(emp_db[[#This Row],[Column1]])</f>
        <v>1900</v>
      </c>
      <c r="T765" s="42">
        <f>MONTH(emp_db[[#This Row],[Column1]])</f>
        <v>1</v>
      </c>
      <c r="U765" s="42">
        <f>IFERROR(YEAR(emp_db[[#This Row],[Exit Date]]),"")</f>
        <v>1900</v>
      </c>
      <c r="V765" s="42">
        <f>IFERROR(MONTH(emp_db[[#This Row],[Exit Date]]),"")</f>
        <v>1</v>
      </c>
    </row>
    <row r="766" spans="2:22">
      <c r="B766" s="39"/>
      <c r="C766" s="39"/>
      <c r="D766" s="39"/>
      <c r="E766" s="39"/>
      <c r="F766" s="40"/>
      <c r="G766" s="38"/>
      <c r="H766" s="43"/>
      <c r="I766" s="43"/>
      <c r="J766" s="39"/>
      <c r="K766" s="38"/>
      <c r="L766" s="39"/>
      <c r="M766" s="39"/>
      <c r="N766" s="43"/>
      <c r="O766" s="38"/>
      <c r="P766" s="38"/>
      <c r="Q766" s="41" t="str">
        <f ca="1">IF(emp_db[[#This Row],[Exit Date]]&lt;&gt;"",(emp_db[[#This Row],[Exit Date]]-emp_db[[#This Row],[Column1]])/365,IF(emp_db[[#This Row],[ID]]&lt;&gt;"",(TODAY()-emp_db[[#This Row],[Column1]])/365,""))</f>
        <v/>
      </c>
      <c r="R766" s="42" t="str">
        <f ca="1">IF(emp_db[[#This Row],[Date of Birth]]&lt;&gt;"",(TODAY()-emp_db[[#This Row],[Date of Birth]])/365,"")</f>
        <v/>
      </c>
      <c r="S766" s="42">
        <f>YEAR(emp_db[[#This Row],[Column1]])</f>
        <v>1900</v>
      </c>
      <c r="T766" s="42">
        <f>MONTH(emp_db[[#This Row],[Column1]])</f>
        <v>1</v>
      </c>
      <c r="U766" s="42">
        <f>IFERROR(YEAR(emp_db[[#This Row],[Exit Date]]),"")</f>
        <v>1900</v>
      </c>
      <c r="V766" s="42">
        <f>IFERROR(MONTH(emp_db[[#This Row],[Exit Date]]),"")</f>
        <v>1</v>
      </c>
    </row>
    <row r="767" spans="2:22">
      <c r="B767" s="39"/>
      <c r="C767" s="39"/>
      <c r="D767" s="39"/>
      <c r="E767" s="39"/>
      <c r="F767" s="40"/>
      <c r="G767" s="38"/>
      <c r="H767" s="43"/>
      <c r="I767" s="43"/>
      <c r="J767" s="39"/>
      <c r="K767" s="38"/>
      <c r="L767" s="39"/>
      <c r="M767" s="39"/>
      <c r="N767" s="43"/>
      <c r="O767" s="38"/>
      <c r="P767" s="38"/>
      <c r="Q767" s="41" t="str">
        <f ca="1">IF(emp_db[[#This Row],[Exit Date]]&lt;&gt;"",(emp_db[[#This Row],[Exit Date]]-emp_db[[#This Row],[Column1]])/365,IF(emp_db[[#This Row],[ID]]&lt;&gt;"",(TODAY()-emp_db[[#This Row],[Column1]])/365,""))</f>
        <v/>
      </c>
      <c r="R767" s="42" t="str">
        <f ca="1">IF(emp_db[[#This Row],[Date of Birth]]&lt;&gt;"",(TODAY()-emp_db[[#This Row],[Date of Birth]])/365,"")</f>
        <v/>
      </c>
      <c r="S767" s="42">
        <f>YEAR(emp_db[[#This Row],[Column1]])</f>
        <v>1900</v>
      </c>
      <c r="T767" s="42">
        <f>MONTH(emp_db[[#This Row],[Column1]])</f>
        <v>1</v>
      </c>
      <c r="U767" s="42">
        <f>IFERROR(YEAR(emp_db[[#This Row],[Exit Date]]),"")</f>
        <v>1900</v>
      </c>
      <c r="V767" s="42">
        <f>IFERROR(MONTH(emp_db[[#This Row],[Exit Date]]),"")</f>
        <v>1</v>
      </c>
    </row>
    <row r="768" spans="2:22">
      <c r="B768" s="39"/>
      <c r="C768" s="39"/>
      <c r="D768" s="39"/>
      <c r="E768" s="39"/>
      <c r="F768" s="40"/>
      <c r="G768" s="38"/>
      <c r="H768" s="43"/>
      <c r="I768" s="43"/>
      <c r="J768" s="39"/>
      <c r="K768" s="38"/>
      <c r="L768" s="39"/>
      <c r="M768" s="39"/>
      <c r="N768" s="43"/>
      <c r="O768" s="38"/>
      <c r="P768" s="38"/>
      <c r="Q768" s="41" t="str">
        <f ca="1">IF(emp_db[[#This Row],[Exit Date]]&lt;&gt;"",(emp_db[[#This Row],[Exit Date]]-emp_db[[#This Row],[Column1]])/365,IF(emp_db[[#This Row],[ID]]&lt;&gt;"",(TODAY()-emp_db[[#This Row],[Column1]])/365,""))</f>
        <v/>
      </c>
      <c r="R768" s="42" t="str">
        <f ca="1">IF(emp_db[[#This Row],[Date of Birth]]&lt;&gt;"",(TODAY()-emp_db[[#This Row],[Date of Birth]])/365,"")</f>
        <v/>
      </c>
      <c r="S768" s="42">
        <f>YEAR(emp_db[[#This Row],[Column1]])</f>
        <v>1900</v>
      </c>
      <c r="T768" s="42">
        <f>MONTH(emp_db[[#This Row],[Column1]])</f>
        <v>1</v>
      </c>
      <c r="U768" s="42">
        <f>IFERROR(YEAR(emp_db[[#This Row],[Exit Date]]),"")</f>
        <v>1900</v>
      </c>
      <c r="V768" s="42">
        <f>IFERROR(MONTH(emp_db[[#This Row],[Exit Date]]),"")</f>
        <v>1</v>
      </c>
    </row>
    <row r="769" spans="2:22">
      <c r="B769" s="39"/>
      <c r="C769" s="39"/>
      <c r="D769" s="39"/>
      <c r="E769" s="39"/>
      <c r="F769" s="40"/>
      <c r="G769" s="38"/>
      <c r="H769" s="43"/>
      <c r="I769" s="43"/>
      <c r="J769" s="39"/>
      <c r="K769" s="38"/>
      <c r="L769" s="39"/>
      <c r="M769" s="39"/>
      <c r="N769" s="43"/>
      <c r="O769" s="38"/>
      <c r="P769" s="38"/>
      <c r="Q769" s="41" t="str">
        <f ca="1">IF(emp_db[[#This Row],[Exit Date]]&lt;&gt;"",(emp_db[[#This Row],[Exit Date]]-emp_db[[#This Row],[Column1]])/365,IF(emp_db[[#This Row],[ID]]&lt;&gt;"",(TODAY()-emp_db[[#This Row],[Column1]])/365,""))</f>
        <v/>
      </c>
      <c r="R769" s="42" t="str">
        <f ca="1">IF(emp_db[[#This Row],[Date of Birth]]&lt;&gt;"",(TODAY()-emp_db[[#This Row],[Date of Birth]])/365,"")</f>
        <v/>
      </c>
      <c r="S769" s="42">
        <f>YEAR(emp_db[[#This Row],[Column1]])</f>
        <v>1900</v>
      </c>
      <c r="T769" s="42">
        <f>MONTH(emp_db[[#This Row],[Column1]])</f>
        <v>1</v>
      </c>
      <c r="U769" s="42">
        <f>IFERROR(YEAR(emp_db[[#This Row],[Exit Date]]),"")</f>
        <v>1900</v>
      </c>
      <c r="V769" s="42">
        <f>IFERROR(MONTH(emp_db[[#This Row],[Exit Date]]),"")</f>
        <v>1</v>
      </c>
    </row>
    <row r="770" spans="2:22">
      <c r="B770" s="39"/>
      <c r="C770" s="39"/>
      <c r="D770" s="39"/>
      <c r="E770" s="39"/>
      <c r="F770" s="40"/>
      <c r="G770" s="38"/>
      <c r="H770" s="43"/>
      <c r="I770" s="43"/>
      <c r="J770" s="39"/>
      <c r="K770" s="38"/>
      <c r="L770" s="39"/>
      <c r="M770" s="39"/>
      <c r="N770" s="43"/>
      <c r="O770" s="38"/>
      <c r="P770" s="38"/>
      <c r="Q770" s="41" t="str">
        <f ca="1">IF(emp_db[[#This Row],[Exit Date]]&lt;&gt;"",(emp_db[[#This Row],[Exit Date]]-emp_db[[#This Row],[Column1]])/365,IF(emp_db[[#This Row],[ID]]&lt;&gt;"",(TODAY()-emp_db[[#This Row],[Column1]])/365,""))</f>
        <v/>
      </c>
      <c r="R770" s="42" t="str">
        <f ca="1">IF(emp_db[[#This Row],[Date of Birth]]&lt;&gt;"",(TODAY()-emp_db[[#This Row],[Date of Birth]])/365,"")</f>
        <v/>
      </c>
      <c r="S770" s="42">
        <f>YEAR(emp_db[[#This Row],[Column1]])</f>
        <v>1900</v>
      </c>
      <c r="T770" s="42">
        <f>MONTH(emp_db[[#This Row],[Column1]])</f>
        <v>1</v>
      </c>
      <c r="U770" s="42">
        <f>IFERROR(YEAR(emp_db[[#This Row],[Exit Date]]),"")</f>
        <v>1900</v>
      </c>
      <c r="V770" s="42">
        <f>IFERROR(MONTH(emp_db[[#This Row],[Exit Date]]),"")</f>
        <v>1</v>
      </c>
    </row>
    <row r="771" spans="2:22">
      <c r="B771" s="39"/>
      <c r="C771" s="39"/>
      <c r="D771" s="39"/>
      <c r="E771" s="39"/>
      <c r="F771" s="40"/>
      <c r="G771" s="38"/>
      <c r="H771" s="43"/>
      <c r="I771" s="43"/>
      <c r="J771" s="39"/>
      <c r="K771" s="38"/>
      <c r="L771" s="39"/>
      <c r="M771" s="39"/>
      <c r="N771" s="43"/>
      <c r="O771" s="38"/>
      <c r="P771" s="38"/>
      <c r="Q771" s="41" t="str">
        <f ca="1">IF(emp_db[[#This Row],[Exit Date]]&lt;&gt;"",(emp_db[[#This Row],[Exit Date]]-emp_db[[#This Row],[Column1]])/365,IF(emp_db[[#This Row],[ID]]&lt;&gt;"",(TODAY()-emp_db[[#This Row],[Column1]])/365,""))</f>
        <v/>
      </c>
      <c r="R771" s="42" t="str">
        <f ca="1">IF(emp_db[[#This Row],[Date of Birth]]&lt;&gt;"",(TODAY()-emp_db[[#This Row],[Date of Birth]])/365,"")</f>
        <v/>
      </c>
      <c r="S771" s="42">
        <f>YEAR(emp_db[[#This Row],[Column1]])</f>
        <v>1900</v>
      </c>
      <c r="T771" s="42">
        <f>MONTH(emp_db[[#This Row],[Column1]])</f>
        <v>1</v>
      </c>
      <c r="U771" s="42">
        <f>IFERROR(YEAR(emp_db[[#This Row],[Exit Date]]),"")</f>
        <v>1900</v>
      </c>
      <c r="V771" s="42">
        <f>IFERROR(MONTH(emp_db[[#This Row],[Exit Date]]),"")</f>
        <v>1</v>
      </c>
    </row>
    <row r="772" spans="2:22">
      <c r="B772" s="39"/>
      <c r="C772" s="39"/>
      <c r="D772" s="39"/>
      <c r="E772" s="39"/>
      <c r="F772" s="40"/>
      <c r="G772" s="38"/>
      <c r="H772" s="43"/>
      <c r="I772" s="43"/>
      <c r="J772" s="39"/>
      <c r="K772" s="38"/>
      <c r="L772" s="39"/>
      <c r="M772" s="39"/>
      <c r="N772" s="43"/>
      <c r="O772" s="38"/>
      <c r="P772" s="38"/>
      <c r="Q772" s="41" t="str">
        <f ca="1">IF(emp_db[[#This Row],[Exit Date]]&lt;&gt;"",(emp_db[[#This Row],[Exit Date]]-emp_db[[#This Row],[Column1]])/365,IF(emp_db[[#This Row],[ID]]&lt;&gt;"",(TODAY()-emp_db[[#This Row],[Column1]])/365,""))</f>
        <v/>
      </c>
      <c r="R772" s="42" t="str">
        <f ca="1">IF(emp_db[[#This Row],[Date of Birth]]&lt;&gt;"",(TODAY()-emp_db[[#This Row],[Date of Birth]])/365,"")</f>
        <v/>
      </c>
      <c r="S772" s="42">
        <f>YEAR(emp_db[[#This Row],[Column1]])</f>
        <v>1900</v>
      </c>
      <c r="T772" s="42">
        <f>MONTH(emp_db[[#This Row],[Column1]])</f>
        <v>1</v>
      </c>
      <c r="U772" s="42">
        <f>IFERROR(YEAR(emp_db[[#This Row],[Exit Date]]),"")</f>
        <v>1900</v>
      </c>
      <c r="V772" s="42">
        <f>IFERROR(MONTH(emp_db[[#This Row],[Exit Date]]),"")</f>
        <v>1</v>
      </c>
    </row>
    <row r="773" spans="2:22">
      <c r="B773" s="39"/>
      <c r="C773" s="39"/>
      <c r="D773" s="39"/>
      <c r="E773" s="39"/>
      <c r="F773" s="40"/>
      <c r="G773" s="38"/>
      <c r="H773" s="43"/>
      <c r="I773" s="43"/>
      <c r="J773" s="39"/>
      <c r="K773" s="38"/>
      <c r="L773" s="39"/>
      <c r="M773" s="39"/>
      <c r="N773" s="43"/>
      <c r="O773" s="38"/>
      <c r="P773" s="38"/>
      <c r="Q773" s="41" t="str">
        <f ca="1">IF(emp_db[[#This Row],[Exit Date]]&lt;&gt;"",(emp_db[[#This Row],[Exit Date]]-emp_db[[#This Row],[Column1]])/365,IF(emp_db[[#This Row],[ID]]&lt;&gt;"",(TODAY()-emp_db[[#This Row],[Column1]])/365,""))</f>
        <v/>
      </c>
      <c r="R773" s="42" t="str">
        <f ca="1">IF(emp_db[[#This Row],[Date of Birth]]&lt;&gt;"",(TODAY()-emp_db[[#This Row],[Date of Birth]])/365,"")</f>
        <v/>
      </c>
      <c r="S773" s="42">
        <f>YEAR(emp_db[[#This Row],[Column1]])</f>
        <v>1900</v>
      </c>
      <c r="T773" s="42">
        <f>MONTH(emp_db[[#This Row],[Column1]])</f>
        <v>1</v>
      </c>
      <c r="U773" s="42">
        <f>IFERROR(YEAR(emp_db[[#This Row],[Exit Date]]),"")</f>
        <v>1900</v>
      </c>
      <c r="V773" s="42">
        <f>IFERROR(MONTH(emp_db[[#This Row],[Exit Date]]),"")</f>
        <v>1</v>
      </c>
    </row>
    <row r="774" spans="2:22">
      <c r="B774" s="39"/>
      <c r="C774" s="39"/>
      <c r="D774" s="39"/>
      <c r="E774" s="39"/>
      <c r="F774" s="40"/>
      <c r="G774" s="38"/>
      <c r="H774" s="43"/>
      <c r="I774" s="43"/>
      <c r="J774" s="39"/>
      <c r="K774" s="38"/>
      <c r="L774" s="39"/>
      <c r="M774" s="39"/>
      <c r="N774" s="43"/>
      <c r="O774" s="38"/>
      <c r="P774" s="38"/>
      <c r="Q774" s="41" t="str">
        <f ca="1">IF(emp_db[[#This Row],[Exit Date]]&lt;&gt;"",(emp_db[[#This Row],[Exit Date]]-emp_db[[#This Row],[Column1]])/365,IF(emp_db[[#This Row],[ID]]&lt;&gt;"",(TODAY()-emp_db[[#This Row],[Column1]])/365,""))</f>
        <v/>
      </c>
      <c r="R774" s="42" t="str">
        <f ca="1">IF(emp_db[[#This Row],[Date of Birth]]&lt;&gt;"",(TODAY()-emp_db[[#This Row],[Date of Birth]])/365,"")</f>
        <v/>
      </c>
      <c r="S774" s="42">
        <f>YEAR(emp_db[[#This Row],[Column1]])</f>
        <v>1900</v>
      </c>
      <c r="T774" s="42">
        <f>MONTH(emp_db[[#This Row],[Column1]])</f>
        <v>1</v>
      </c>
      <c r="U774" s="42">
        <f>IFERROR(YEAR(emp_db[[#This Row],[Exit Date]]),"")</f>
        <v>1900</v>
      </c>
      <c r="V774" s="42">
        <f>IFERROR(MONTH(emp_db[[#This Row],[Exit Date]]),"")</f>
        <v>1</v>
      </c>
    </row>
    <row r="775" spans="2:22">
      <c r="B775" s="39"/>
      <c r="C775" s="39"/>
      <c r="D775" s="39"/>
      <c r="E775" s="39"/>
      <c r="F775" s="40"/>
      <c r="G775" s="38"/>
      <c r="H775" s="43"/>
      <c r="I775" s="43"/>
      <c r="J775" s="39"/>
      <c r="K775" s="38"/>
      <c r="L775" s="39"/>
      <c r="M775" s="39"/>
      <c r="N775" s="43"/>
      <c r="O775" s="38"/>
      <c r="P775" s="38"/>
      <c r="Q775" s="41" t="str">
        <f ca="1">IF(emp_db[[#This Row],[Exit Date]]&lt;&gt;"",(emp_db[[#This Row],[Exit Date]]-emp_db[[#This Row],[Column1]])/365,IF(emp_db[[#This Row],[ID]]&lt;&gt;"",(TODAY()-emp_db[[#This Row],[Column1]])/365,""))</f>
        <v/>
      </c>
      <c r="R775" s="42" t="str">
        <f ca="1">IF(emp_db[[#This Row],[Date of Birth]]&lt;&gt;"",(TODAY()-emp_db[[#This Row],[Date of Birth]])/365,"")</f>
        <v/>
      </c>
      <c r="S775" s="42">
        <f>YEAR(emp_db[[#This Row],[Column1]])</f>
        <v>1900</v>
      </c>
      <c r="T775" s="42">
        <f>MONTH(emp_db[[#This Row],[Column1]])</f>
        <v>1</v>
      </c>
      <c r="U775" s="42">
        <f>IFERROR(YEAR(emp_db[[#This Row],[Exit Date]]),"")</f>
        <v>1900</v>
      </c>
      <c r="V775" s="42">
        <f>IFERROR(MONTH(emp_db[[#This Row],[Exit Date]]),"")</f>
        <v>1</v>
      </c>
    </row>
    <row r="776" spans="2:22">
      <c r="B776" s="39"/>
      <c r="C776" s="39"/>
      <c r="D776" s="39"/>
      <c r="E776" s="39"/>
      <c r="F776" s="40"/>
      <c r="G776" s="38"/>
      <c r="H776" s="43"/>
      <c r="I776" s="43"/>
      <c r="J776" s="39"/>
      <c r="K776" s="38"/>
      <c r="L776" s="39"/>
      <c r="M776" s="39"/>
      <c r="N776" s="43"/>
      <c r="O776" s="38"/>
      <c r="P776" s="38"/>
      <c r="Q776" s="41" t="str">
        <f ca="1">IF(emp_db[[#This Row],[Exit Date]]&lt;&gt;"",(emp_db[[#This Row],[Exit Date]]-emp_db[[#This Row],[Column1]])/365,IF(emp_db[[#This Row],[ID]]&lt;&gt;"",(TODAY()-emp_db[[#This Row],[Column1]])/365,""))</f>
        <v/>
      </c>
      <c r="R776" s="42" t="str">
        <f ca="1">IF(emp_db[[#This Row],[Date of Birth]]&lt;&gt;"",(TODAY()-emp_db[[#This Row],[Date of Birth]])/365,"")</f>
        <v/>
      </c>
      <c r="S776" s="42">
        <f>YEAR(emp_db[[#This Row],[Column1]])</f>
        <v>1900</v>
      </c>
      <c r="T776" s="42">
        <f>MONTH(emp_db[[#This Row],[Column1]])</f>
        <v>1</v>
      </c>
      <c r="U776" s="42">
        <f>IFERROR(YEAR(emp_db[[#This Row],[Exit Date]]),"")</f>
        <v>1900</v>
      </c>
      <c r="V776" s="42">
        <f>IFERROR(MONTH(emp_db[[#This Row],[Exit Date]]),"")</f>
        <v>1</v>
      </c>
    </row>
    <row r="777" spans="2:22">
      <c r="B777" s="39"/>
      <c r="C777" s="39"/>
      <c r="D777" s="39"/>
      <c r="E777" s="39"/>
      <c r="F777" s="40"/>
      <c r="G777" s="38"/>
      <c r="H777" s="43"/>
      <c r="I777" s="43"/>
      <c r="J777" s="39"/>
      <c r="K777" s="38"/>
      <c r="L777" s="39"/>
      <c r="M777" s="39"/>
      <c r="N777" s="43"/>
      <c r="O777" s="38"/>
      <c r="P777" s="38"/>
      <c r="Q777" s="41" t="str">
        <f ca="1">IF(emp_db[[#This Row],[Exit Date]]&lt;&gt;"",(emp_db[[#This Row],[Exit Date]]-emp_db[[#This Row],[Column1]])/365,IF(emp_db[[#This Row],[ID]]&lt;&gt;"",(TODAY()-emp_db[[#This Row],[Column1]])/365,""))</f>
        <v/>
      </c>
      <c r="R777" s="42" t="str">
        <f ca="1">IF(emp_db[[#This Row],[Date of Birth]]&lt;&gt;"",(TODAY()-emp_db[[#This Row],[Date of Birth]])/365,"")</f>
        <v/>
      </c>
      <c r="S777" s="42">
        <f>YEAR(emp_db[[#This Row],[Column1]])</f>
        <v>1900</v>
      </c>
      <c r="T777" s="42">
        <f>MONTH(emp_db[[#This Row],[Column1]])</f>
        <v>1</v>
      </c>
      <c r="U777" s="42">
        <f>IFERROR(YEAR(emp_db[[#This Row],[Exit Date]]),"")</f>
        <v>1900</v>
      </c>
      <c r="V777" s="42">
        <f>IFERROR(MONTH(emp_db[[#This Row],[Exit Date]]),"")</f>
        <v>1</v>
      </c>
    </row>
    <row r="778" spans="2:22">
      <c r="B778" s="39"/>
      <c r="C778" s="39"/>
      <c r="D778" s="39"/>
      <c r="E778" s="39"/>
      <c r="F778" s="40"/>
      <c r="G778" s="38"/>
      <c r="H778" s="43"/>
      <c r="I778" s="43"/>
      <c r="J778" s="39"/>
      <c r="K778" s="38"/>
      <c r="L778" s="39"/>
      <c r="M778" s="39"/>
      <c r="N778" s="43"/>
      <c r="O778" s="38"/>
      <c r="P778" s="38"/>
      <c r="Q778" s="41" t="str">
        <f ca="1">IF(emp_db[[#This Row],[Exit Date]]&lt;&gt;"",(emp_db[[#This Row],[Exit Date]]-emp_db[[#This Row],[Column1]])/365,IF(emp_db[[#This Row],[ID]]&lt;&gt;"",(TODAY()-emp_db[[#This Row],[Column1]])/365,""))</f>
        <v/>
      </c>
      <c r="R778" s="42" t="str">
        <f ca="1">IF(emp_db[[#This Row],[Date of Birth]]&lt;&gt;"",(TODAY()-emp_db[[#This Row],[Date of Birth]])/365,"")</f>
        <v/>
      </c>
      <c r="S778" s="42">
        <f>YEAR(emp_db[[#This Row],[Column1]])</f>
        <v>1900</v>
      </c>
      <c r="T778" s="42">
        <f>MONTH(emp_db[[#This Row],[Column1]])</f>
        <v>1</v>
      </c>
      <c r="U778" s="42">
        <f>IFERROR(YEAR(emp_db[[#This Row],[Exit Date]]),"")</f>
        <v>1900</v>
      </c>
      <c r="V778" s="42">
        <f>IFERROR(MONTH(emp_db[[#This Row],[Exit Date]]),"")</f>
        <v>1</v>
      </c>
    </row>
    <row r="779" spans="2:22">
      <c r="B779" s="39"/>
      <c r="C779" s="39"/>
      <c r="D779" s="39"/>
      <c r="E779" s="39"/>
      <c r="F779" s="40"/>
      <c r="G779" s="38"/>
      <c r="H779" s="43"/>
      <c r="I779" s="43"/>
      <c r="J779" s="39"/>
      <c r="K779" s="38"/>
      <c r="L779" s="39"/>
      <c r="M779" s="39"/>
      <c r="N779" s="43"/>
      <c r="O779" s="38"/>
      <c r="P779" s="38"/>
      <c r="Q779" s="41" t="str">
        <f ca="1">IF(emp_db[[#This Row],[Exit Date]]&lt;&gt;"",(emp_db[[#This Row],[Exit Date]]-emp_db[[#This Row],[Column1]])/365,IF(emp_db[[#This Row],[ID]]&lt;&gt;"",(TODAY()-emp_db[[#This Row],[Column1]])/365,""))</f>
        <v/>
      </c>
      <c r="R779" s="42" t="str">
        <f ca="1">IF(emp_db[[#This Row],[Date of Birth]]&lt;&gt;"",(TODAY()-emp_db[[#This Row],[Date of Birth]])/365,"")</f>
        <v/>
      </c>
      <c r="S779" s="42">
        <f>YEAR(emp_db[[#This Row],[Column1]])</f>
        <v>1900</v>
      </c>
      <c r="T779" s="42">
        <f>MONTH(emp_db[[#This Row],[Column1]])</f>
        <v>1</v>
      </c>
      <c r="U779" s="42">
        <f>IFERROR(YEAR(emp_db[[#This Row],[Exit Date]]),"")</f>
        <v>1900</v>
      </c>
      <c r="V779" s="42">
        <f>IFERROR(MONTH(emp_db[[#This Row],[Exit Date]]),"")</f>
        <v>1</v>
      </c>
    </row>
    <row r="780" spans="2:22">
      <c r="B780" s="39"/>
      <c r="C780" s="39"/>
      <c r="D780" s="39"/>
      <c r="E780" s="39"/>
      <c r="F780" s="40"/>
      <c r="G780" s="38"/>
      <c r="H780" s="43"/>
      <c r="I780" s="43"/>
      <c r="J780" s="39"/>
      <c r="K780" s="38"/>
      <c r="L780" s="39"/>
      <c r="M780" s="39"/>
      <c r="N780" s="43"/>
      <c r="O780" s="38"/>
      <c r="P780" s="38"/>
      <c r="Q780" s="41" t="str">
        <f ca="1">IF(emp_db[[#This Row],[Exit Date]]&lt;&gt;"",(emp_db[[#This Row],[Exit Date]]-emp_db[[#This Row],[Column1]])/365,IF(emp_db[[#This Row],[ID]]&lt;&gt;"",(TODAY()-emp_db[[#This Row],[Column1]])/365,""))</f>
        <v/>
      </c>
      <c r="R780" s="42" t="str">
        <f ca="1">IF(emp_db[[#This Row],[Date of Birth]]&lt;&gt;"",(TODAY()-emp_db[[#This Row],[Date of Birth]])/365,"")</f>
        <v/>
      </c>
      <c r="S780" s="42">
        <f>YEAR(emp_db[[#This Row],[Column1]])</f>
        <v>1900</v>
      </c>
      <c r="T780" s="42">
        <f>MONTH(emp_db[[#This Row],[Column1]])</f>
        <v>1</v>
      </c>
      <c r="U780" s="42">
        <f>IFERROR(YEAR(emp_db[[#This Row],[Exit Date]]),"")</f>
        <v>1900</v>
      </c>
      <c r="V780" s="42">
        <f>IFERROR(MONTH(emp_db[[#This Row],[Exit Date]]),"")</f>
        <v>1</v>
      </c>
    </row>
    <row r="781" spans="2:22">
      <c r="B781" s="39"/>
      <c r="C781" s="39"/>
      <c r="D781" s="39"/>
      <c r="E781" s="39"/>
      <c r="F781" s="40"/>
      <c r="G781" s="38"/>
      <c r="H781" s="43"/>
      <c r="I781" s="43"/>
      <c r="J781" s="39"/>
      <c r="K781" s="38"/>
      <c r="L781" s="39"/>
      <c r="M781" s="39"/>
      <c r="N781" s="43"/>
      <c r="O781" s="38"/>
      <c r="P781" s="38"/>
      <c r="Q781" s="41" t="str">
        <f ca="1">IF(emp_db[[#This Row],[Exit Date]]&lt;&gt;"",(emp_db[[#This Row],[Exit Date]]-emp_db[[#This Row],[Column1]])/365,IF(emp_db[[#This Row],[ID]]&lt;&gt;"",(TODAY()-emp_db[[#This Row],[Column1]])/365,""))</f>
        <v/>
      </c>
      <c r="R781" s="42" t="str">
        <f ca="1">IF(emp_db[[#This Row],[Date of Birth]]&lt;&gt;"",(TODAY()-emp_db[[#This Row],[Date of Birth]])/365,"")</f>
        <v/>
      </c>
      <c r="S781" s="42">
        <f>YEAR(emp_db[[#This Row],[Column1]])</f>
        <v>1900</v>
      </c>
      <c r="T781" s="42">
        <f>MONTH(emp_db[[#This Row],[Column1]])</f>
        <v>1</v>
      </c>
      <c r="U781" s="42">
        <f>IFERROR(YEAR(emp_db[[#This Row],[Exit Date]]),"")</f>
        <v>1900</v>
      </c>
      <c r="V781" s="42">
        <f>IFERROR(MONTH(emp_db[[#This Row],[Exit Date]]),"")</f>
        <v>1</v>
      </c>
    </row>
    <row r="782" spans="2:22">
      <c r="B782" s="39"/>
      <c r="C782" s="39"/>
      <c r="D782" s="39"/>
      <c r="E782" s="39"/>
      <c r="F782" s="40"/>
      <c r="G782" s="38"/>
      <c r="H782" s="43"/>
      <c r="I782" s="43"/>
      <c r="J782" s="39"/>
      <c r="K782" s="38"/>
      <c r="L782" s="39"/>
      <c r="M782" s="39"/>
      <c r="N782" s="43"/>
      <c r="O782" s="38"/>
      <c r="P782" s="38"/>
      <c r="Q782" s="41" t="str">
        <f ca="1">IF(emp_db[[#This Row],[Exit Date]]&lt;&gt;"",(emp_db[[#This Row],[Exit Date]]-emp_db[[#This Row],[Column1]])/365,IF(emp_db[[#This Row],[ID]]&lt;&gt;"",(TODAY()-emp_db[[#This Row],[Column1]])/365,""))</f>
        <v/>
      </c>
      <c r="R782" s="42" t="str">
        <f ca="1">IF(emp_db[[#This Row],[Date of Birth]]&lt;&gt;"",(TODAY()-emp_db[[#This Row],[Date of Birth]])/365,"")</f>
        <v/>
      </c>
      <c r="S782" s="42">
        <f>YEAR(emp_db[[#This Row],[Column1]])</f>
        <v>1900</v>
      </c>
      <c r="T782" s="42">
        <f>MONTH(emp_db[[#This Row],[Column1]])</f>
        <v>1</v>
      </c>
      <c r="U782" s="42">
        <f>IFERROR(YEAR(emp_db[[#This Row],[Exit Date]]),"")</f>
        <v>1900</v>
      </c>
      <c r="V782" s="42">
        <f>IFERROR(MONTH(emp_db[[#This Row],[Exit Date]]),"")</f>
        <v>1</v>
      </c>
    </row>
    <row r="783" spans="2:22">
      <c r="B783" s="39"/>
      <c r="C783" s="39"/>
      <c r="D783" s="39"/>
      <c r="E783" s="39"/>
      <c r="F783" s="40"/>
      <c r="G783" s="38"/>
      <c r="H783" s="43"/>
      <c r="I783" s="43"/>
      <c r="J783" s="39"/>
      <c r="K783" s="38"/>
      <c r="L783" s="39"/>
      <c r="M783" s="39"/>
      <c r="N783" s="43"/>
      <c r="O783" s="38"/>
      <c r="P783" s="38"/>
      <c r="Q783" s="41" t="str">
        <f ca="1">IF(emp_db[[#This Row],[Exit Date]]&lt;&gt;"",(emp_db[[#This Row],[Exit Date]]-emp_db[[#This Row],[Column1]])/365,IF(emp_db[[#This Row],[ID]]&lt;&gt;"",(TODAY()-emp_db[[#This Row],[Column1]])/365,""))</f>
        <v/>
      </c>
      <c r="R783" s="42" t="str">
        <f ca="1">IF(emp_db[[#This Row],[Date of Birth]]&lt;&gt;"",(TODAY()-emp_db[[#This Row],[Date of Birth]])/365,"")</f>
        <v/>
      </c>
      <c r="S783" s="42">
        <f>YEAR(emp_db[[#This Row],[Column1]])</f>
        <v>1900</v>
      </c>
      <c r="T783" s="42">
        <f>MONTH(emp_db[[#This Row],[Column1]])</f>
        <v>1</v>
      </c>
      <c r="U783" s="42">
        <f>IFERROR(YEAR(emp_db[[#This Row],[Exit Date]]),"")</f>
        <v>1900</v>
      </c>
      <c r="V783" s="42">
        <f>IFERROR(MONTH(emp_db[[#This Row],[Exit Date]]),"")</f>
        <v>1</v>
      </c>
    </row>
    <row r="784" spans="2:22">
      <c r="B784" s="39"/>
      <c r="C784" s="39"/>
      <c r="D784" s="39"/>
      <c r="E784" s="39"/>
      <c r="F784" s="40"/>
      <c r="G784" s="38"/>
      <c r="H784" s="43"/>
      <c r="I784" s="43"/>
      <c r="J784" s="39"/>
      <c r="K784" s="38"/>
      <c r="L784" s="39"/>
      <c r="M784" s="39"/>
      <c r="N784" s="43"/>
      <c r="O784" s="38"/>
      <c r="P784" s="38"/>
      <c r="Q784" s="41" t="str">
        <f ca="1">IF(emp_db[[#This Row],[Exit Date]]&lt;&gt;"",(emp_db[[#This Row],[Exit Date]]-emp_db[[#This Row],[Column1]])/365,IF(emp_db[[#This Row],[ID]]&lt;&gt;"",(TODAY()-emp_db[[#This Row],[Column1]])/365,""))</f>
        <v/>
      </c>
      <c r="R784" s="42" t="str">
        <f ca="1">IF(emp_db[[#This Row],[Date of Birth]]&lt;&gt;"",(TODAY()-emp_db[[#This Row],[Date of Birth]])/365,"")</f>
        <v/>
      </c>
      <c r="S784" s="42">
        <f>YEAR(emp_db[[#This Row],[Column1]])</f>
        <v>1900</v>
      </c>
      <c r="T784" s="42">
        <f>MONTH(emp_db[[#This Row],[Column1]])</f>
        <v>1</v>
      </c>
      <c r="U784" s="42">
        <f>IFERROR(YEAR(emp_db[[#This Row],[Exit Date]]),"")</f>
        <v>1900</v>
      </c>
      <c r="V784" s="42">
        <f>IFERROR(MONTH(emp_db[[#This Row],[Exit Date]]),"")</f>
        <v>1</v>
      </c>
    </row>
    <row r="785" spans="2:22">
      <c r="B785" s="39"/>
      <c r="C785" s="39"/>
      <c r="D785" s="39"/>
      <c r="E785" s="39"/>
      <c r="F785" s="40"/>
      <c r="G785" s="38"/>
      <c r="H785" s="43"/>
      <c r="I785" s="43"/>
      <c r="J785" s="39"/>
      <c r="K785" s="38"/>
      <c r="L785" s="39"/>
      <c r="M785" s="39"/>
      <c r="N785" s="43"/>
      <c r="O785" s="38"/>
      <c r="P785" s="38"/>
      <c r="Q785" s="41" t="str">
        <f ca="1">IF(emp_db[[#This Row],[Exit Date]]&lt;&gt;"",(emp_db[[#This Row],[Exit Date]]-emp_db[[#This Row],[Column1]])/365,IF(emp_db[[#This Row],[ID]]&lt;&gt;"",(TODAY()-emp_db[[#This Row],[Column1]])/365,""))</f>
        <v/>
      </c>
      <c r="R785" s="42" t="str">
        <f ca="1">IF(emp_db[[#This Row],[Date of Birth]]&lt;&gt;"",(TODAY()-emp_db[[#This Row],[Date of Birth]])/365,"")</f>
        <v/>
      </c>
      <c r="S785" s="42">
        <f>YEAR(emp_db[[#This Row],[Column1]])</f>
        <v>1900</v>
      </c>
      <c r="T785" s="42">
        <f>MONTH(emp_db[[#This Row],[Column1]])</f>
        <v>1</v>
      </c>
      <c r="U785" s="42">
        <f>IFERROR(YEAR(emp_db[[#This Row],[Exit Date]]),"")</f>
        <v>1900</v>
      </c>
      <c r="V785" s="42">
        <f>IFERROR(MONTH(emp_db[[#This Row],[Exit Date]]),"")</f>
        <v>1</v>
      </c>
    </row>
    <row r="786" spans="2:22">
      <c r="B786" s="39"/>
      <c r="C786" s="39"/>
      <c r="D786" s="39"/>
      <c r="E786" s="39"/>
      <c r="F786" s="40"/>
      <c r="G786" s="38"/>
      <c r="H786" s="43"/>
      <c r="I786" s="43"/>
      <c r="J786" s="39"/>
      <c r="K786" s="38"/>
      <c r="L786" s="39"/>
      <c r="M786" s="39"/>
      <c r="N786" s="43"/>
      <c r="O786" s="38"/>
      <c r="P786" s="38"/>
      <c r="Q786" s="41" t="str">
        <f ca="1">IF(emp_db[[#This Row],[Exit Date]]&lt;&gt;"",(emp_db[[#This Row],[Exit Date]]-emp_db[[#This Row],[Column1]])/365,IF(emp_db[[#This Row],[ID]]&lt;&gt;"",(TODAY()-emp_db[[#This Row],[Column1]])/365,""))</f>
        <v/>
      </c>
      <c r="R786" s="42" t="str">
        <f ca="1">IF(emp_db[[#This Row],[Date of Birth]]&lt;&gt;"",(TODAY()-emp_db[[#This Row],[Date of Birth]])/365,"")</f>
        <v/>
      </c>
      <c r="S786" s="42">
        <f>YEAR(emp_db[[#This Row],[Column1]])</f>
        <v>1900</v>
      </c>
      <c r="T786" s="42">
        <f>MONTH(emp_db[[#This Row],[Column1]])</f>
        <v>1</v>
      </c>
      <c r="U786" s="42">
        <f>IFERROR(YEAR(emp_db[[#This Row],[Exit Date]]),"")</f>
        <v>1900</v>
      </c>
      <c r="V786" s="42">
        <f>IFERROR(MONTH(emp_db[[#This Row],[Exit Date]]),"")</f>
        <v>1</v>
      </c>
    </row>
    <row r="787" spans="2:22">
      <c r="B787" s="39"/>
      <c r="C787" s="39"/>
      <c r="D787" s="39"/>
      <c r="E787" s="39"/>
      <c r="F787" s="40"/>
      <c r="G787" s="38"/>
      <c r="H787" s="43"/>
      <c r="I787" s="43"/>
      <c r="J787" s="39"/>
      <c r="K787" s="38"/>
      <c r="L787" s="39"/>
      <c r="M787" s="39"/>
      <c r="N787" s="43"/>
      <c r="O787" s="38"/>
      <c r="P787" s="38"/>
      <c r="Q787" s="41" t="str">
        <f ca="1">IF(emp_db[[#This Row],[Exit Date]]&lt;&gt;"",(emp_db[[#This Row],[Exit Date]]-emp_db[[#This Row],[Column1]])/365,IF(emp_db[[#This Row],[ID]]&lt;&gt;"",(TODAY()-emp_db[[#This Row],[Column1]])/365,""))</f>
        <v/>
      </c>
      <c r="R787" s="42" t="str">
        <f ca="1">IF(emp_db[[#This Row],[Date of Birth]]&lt;&gt;"",(TODAY()-emp_db[[#This Row],[Date of Birth]])/365,"")</f>
        <v/>
      </c>
      <c r="S787" s="42">
        <f>YEAR(emp_db[[#This Row],[Column1]])</f>
        <v>1900</v>
      </c>
      <c r="T787" s="42">
        <f>MONTH(emp_db[[#This Row],[Column1]])</f>
        <v>1</v>
      </c>
      <c r="U787" s="42">
        <f>IFERROR(YEAR(emp_db[[#This Row],[Exit Date]]),"")</f>
        <v>1900</v>
      </c>
      <c r="V787" s="42">
        <f>IFERROR(MONTH(emp_db[[#This Row],[Exit Date]]),"")</f>
        <v>1</v>
      </c>
    </row>
    <row r="788" spans="2:22">
      <c r="B788" s="39"/>
      <c r="C788" s="39"/>
      <c r="D788" s="39"/>
      <c r="E788" s="39"/>
      <c r="F788" s="40"/>
      <c r="G788" s="38"/>
      <c r="H788" s="43"/>
      <c r="I788" s="43"/>
      <c r="J788" s="39"/>
      <c r="K788" s="38"/>
      <c r="L788" s="39"/>
      <c r="M788" s="39"/>
      <c r="N788" s="43"/>
      <c r="O788" s="38"/>
      <c r="P788" s="38"/>
      <c r="Q788" s="41" t="str">
        <f ca="1">IF(emp_db[[#This Row],[Exit Date]]&lt;&gt;"",(emp_db[[#This Row],[Exit Date]]-emp_db[[#This Row],[Column1]])/365,IF(emp_db[[#This Row],[ID]]&lt;&gt;"",(TODAY()-emp_db[[#This Row],[Column1]])/365,""))</f>
        <v/>
      </c>
      <c r="R788" s="42" t="str">
        <f ca="1">IF(emp_db[[#This Row],[Date of Birth]]&lt;&gt;"",(TODAY()-emp_db[[#This Row],[Date of Birth]])/365,"")</f>
        <v/>
      </c>
      <c r="S788" s="42">
        <f>YEAR(emp_db[[#This Row],[Column1]])</f>
        <v>1900</v>
      </c>
      <c r="T788" s="42">
        <f>MONTH(emp_db[[#This Row],[Column1]])</f>
        <v>1</v>
      </c>
      <c r="U788" s="42">
        <f>IFERROR(YEAR(emp_db[[#This Row],[Exit Date]]),"")</f>
        <v>1900</v>
      </c>
      <c r="V788" s="42">
        <f>IFERROR(MONTH(emp_db[[#This Row],[Exit Date]]),"")</f>
        <v>1</v>
      </c>
    </row>
    <row r="789" spans="2:22">
      <c r="B789" s="39"/>
      <c r="C789" s="39"/>
      <c r="D789" s="39"/>
      <c r="E789" s="39"/>
      <c r="F789" s="40"/>
      <c r="G789" s="38"/>
      <c r="H789" s="43"/>
      <c r="I789" s="43"/>
      <c r="J789" s="39"/>
      <c r="K789" s="38"/>
      <c r="L789" s="39"/>
      <c r="M789" s="39"/>
      <c r="N789" s="43"/>
      <c r="O789" s="38"/>
      <c r="P789" s="38"/>
      <c r="Q789" s="41" t="str">
        <f ca="1">IF(emp_db[[#This Row],[Exit Date]]&lt;&gt;"",(emp_db[[#This Row],[Exit Date]]-emp_db[[#This Row],[Column1]])/365,IF(emp_db[[#This Row],[ID]]&lt;&gt;"",(TODAY()-emp_db[[#This Row],[Column1]])/365,""))</f>
        <v/>
      </c>
      <c r="R789" s="42" t="str">
        <f ca="1">IF(emp_db[[#This Row],[Date of Birth]]&lt;&gt;"",(TODAY()-emp_db[[#This Row],[Date of Birth]])/365,"")</f>
        <v/>
      </c>
      <c r="S789" s="42">
        <f>YEAR(emp_db[[#This Row],[Column1]])</f>
        <v>1900</v>
      </c>
      <c r="T789" s="42">
        <f>MONTH(emp_db[[#This Row],[Column1]])</f>
        <v>1</v>
      </c>
      <c r="U789" s="42">
        <f>IFERROR(YEAR(emp_db[[#This Row],[Exit Date]]),"")</f>
        <v>1900</v>
      </c>
      <c r="V789" s="42">
        <f>IFERROR(MONTH(emp_db[[#This Row],[Exit Date]]),"")</f>
        <v>1</v>
      </c>
    </row>
    <row r="790" spans="2:22">
      <c r="B790" s="39"/>
      <c r="C790" s="39"/>
      <c r="D790" s="39"/>
      <c r="E790" s="39"/>
      <c r="F790" s="40"/>
      <c r="G790" s="38"/>
      <c r="H790" s="43"/>
      <c r="I790" s="43"/>
      <c r="J790" s="39"/>
      <c r="K790" s="38"/>
      <c r="L790" s="39"/>
      <c r="M790" s="39"/>
      <c r="N790" s="43"/>
      <c r="O790" s="38"/>
      <c r="P790" s="38"/>
      <c r="Q790" s="41" t="str">
        <f ca="1">IF(emp_db[[#This Row],[Exit Date]]&lt;&gt;"",(emp_db[[#This Row],[Exit Date]]-emp_db[[#This Row],[Column1]])/365,IF(emp_db[[#This Row],[ID]]&lt;&gt;"",(TODAY()-emp_db[[#This Row],[Column1]])/365,""))</f>
        <v/>
      </c>
      <c r="R790" s="42" t="str">
        <f ca="1">IF(emp_db[[#This Row],[Date of Birth]]&lt;&gt;"",(TODAY()-emp_db[[#This Row],[Date of Birth]])/365,"")</f>
        <v/>
      </c>
      <c r="S790" s="42">
        <f>YEAR(emp_db[[#This Row],[Column1]])</f>
        <v>1900</v>
      </c>
      <c r="T790" s="42">
        <f>MONTH(emp_db[[#This Row],[Column1]])</f>
        <v>1</v>
      </c>
      <c r="U790" s="42">
        <f>IFERROR(YEAR(emp_db[[#This Row],[Exit Date]]),"")</f>
        <v>1900</v>
      </c>
      <c r="V790" s="42">
        <f>IFERROR(MONTH(emp_db[[#This Row],[Exit Date]]),"")</f>
        <v>1</v>
      </c>
    </row>
    <row r="791" spans="2:22">
      <c r="B791" s="39"/>
      <c r="C791" s="39"/>
      <c r="D791" s="39"/>
      <c r="E791" s="39"/>
      <c r="F791" s="40"/>
      <c r="G791" s="38"/>
      <c r="H791" s="43"/>
      <c r="I791" s="43"/>
      <c r="J791" s="39"/>
      <c r="K791" s="38"/>
      <c r="L791" s="39"/>
      <c r="M791" s="39"/>
      <c r="N791" s="43"/>
      <c r="O791" s="38"/>
      <c r="P791" s="38"/>
      <c r="Q791" s="41" t="str">
        <f ca="1">IF(emp_db[[#This Row],[Exit Date]]&lt;&gt;"",(emp_db[[#This Row],[Exit Date]]-emp_db[[#This Row],[Column1]])/365,IF(emp_db[[#This Row],[ID]]&lt;&gt;"",(TODAY()-emp_db[[#This Row],[Column1]])/365,""))</f>
        <v/>
      </c>
      <c r="R791" s="42" t="str">
        <f ca="1">IF(emp_db[[#This Row],[Date of Birth]]&lt;&gt;"",(TODAY()-emp_db[[#This Row],[Date of Birth]])/365,"")</f>
        <v/>
      </c>
      <c r="S791" s="42">
        <f>YEAR(emp_db[[#This Row],[Column1]])</f>
        <v>1900</v>
      </c>
      <c r="T791" s="42">
        <f>MONTH(emp_db[[#This Row],[Column1]])</f>
        <v>1</v>
      </c>
      <c r="U791" s="42">
        <f>IFERROR(YEAR(emp_db[[#This Row],[Exit Date]]),"")</f>
        <v>1900</v>
      </c>
      <c r="V791" s="42">
        <f>IFERROR(MONTH(emp_db[[#This Row],[Exit Date]]),"")</f>
        <v>1</v>
      </c>
    </row>
    <row r="792" spans="2:22">
      <c r="B792" s="39"/>
      <c r="C792" s="39"/>
      <c r="D792" s="39"/>
      <c r="E792" s="39"/>
      <c r="F792" s="40"/>
      <c r="G792" s="38"/>
      <c r="H792" s="43"/>
      <c r="I792" s="43"/>
      <c r="J792" s="39"/>
      <c r="K792" s="38"/>
      <c r="L792" s="39"/>
      <c r="M792" s="39"/>
      <c r="N792" s="43"/>
      <c r="O792" s="38"/>
      <c r="P792" s="38"/>
      <c r="Q792" s="41" t="str">
        <f ca="1">IF(emp_db[[#This Row],[Exit Date]]&lt;&gt;"",(emp_db[[#This Row],[Exit Date]]-emp_db[[#This Row],[Column1]])/365,IF(emp_db[[#This Row],[ID]]&lt;&gt;"",(TODAY()-emp_db[[#This Row],[Column1]])/365,""))</f>
        <v/>
      </c>
      <c r="R792" s="42" t="str">
        <f ca="1">IF(emp_db[[#This Row],[Date of Birth]]&lt;&gt;"",(TODAY()-emp_db[[#This Row],[Date of Birth]])/365,"")</f>
        <v/>
      </c>
      <c r="S792" s="42">
        <f>YEAR(emp_db[[#This Row],[Column1]])</f>
        <v>1900</v>
      </c>
      <c r="T792" s="42">
        <f>MONTH(emp_db[[#This Row],[Column1]])</f>
        <v>1</v>
      </c>
      <c r="U792" s="42">
        <f>IFERROR(YEAR(emp_db[[#This Row],[Exit Date]]),"")</f>
        <v>1900</v>
      </c>
      <c r="V792" s="42">
        <f>IFERROR(MONTH(emp_db[[#This Row],[Exit Date]]),"")</f>
        <v>1</v>
      </c>
    </row>
    <row r="793" spans="2:22">
      <c r="B793" s="39"/>
      <c r="C793" s="39"/>
      <c r="D793" s="39"/>
      <c r="E793" s="39"/>
      <c r="F793" s="40"/>
      <c r="G793" s="38"/>
      <c r="H793" s="43"/>
      <c r="I793" s="43"/>
      <c r="J793" s="39"/>
      <c r="K793" s="38"/>
      <c r="L793" s="39"/>
      <c r="M793" s="39"/>
      <c r="N793" s="43"/>
      <c r="O793" s="38"/>
      <c r="P793" s="38"/>
      <c r="Q793" s="41" t="str">
        <f ca="1">IF(emp_db[[#This Row],[Exit Date]]&lt;&gt;"",(emp_db[[#This Row],[Exit Date]]-emp_db[[#This Row],[Column1]])/365,IF(emp_db[[#This Row],[ID]]&lt;&gt;"",(TODAY()-emp_db[[#This Row],[Column1]])/365,""))</f>
        <v/>
      </c>
      <c r="R793" s="42" t="str">
        <f ca="1">IF(emp_db[[#This Row],[Date of Birth]]&lt;&gt;"",(TODAY()-emp_db[[#This Row],[Date of Birth]])/365,"")</f>
        <v/>
      </c>
      <c r="S793" s="42">
        <f>YEAR(emp_db[[#This Row],[Column1]])</f>
        <v>1900</v>
      </c>
      <c r="T793" s="42">
        <f>MONTH(emp_db[[#This Row],[Column1]])</f>
        <v>1</v>
      </c>
      <c r="U793" s="42">
        <f>IFERROR(YEAR(emp_db[[#This Row],[Exit Date]]),"")</f>
        <v>1900</v>
      </c>
      <c r="V793" s="42">
        <f>IFERROR(MONTH(emp_db[[#This Row],[Exit Date]]),"")</f>
        <v>1</v>
      </c>
    </row>
    <row r="794" spans="2:22">
      <c r="B794" s="39"/>
      <c r="C794" s="39"/>
      <c r="D794" s="39"/>
      <c r="E794" s="39"/>
      <c r="F794" s="40"/>
      <c r="G794" s="38"/>
      <c r="H794" s="43"/>
      <c r="I794" s="43"/>
      <c r="J794" s="39"/>
      <c r="K794" s="38"/>
      <c r="L794" s="39"/>
      <c r="M794" s="39"/>
      <c r="N794" s="43"/>
      <c r="O794" s="38"/>
      <c r="P794" s="38"/>
      <c r="Q794" s="41" t="str">
        <f ca="1">IF(emp_db[[#This Row],[Exit Date]]&lt;&gt;"",(emp_db[[#This Row],[Exit Date]]-emp_db[[#This Row],[Column1]])/365,IF(emp_db[[#This Row],[ID]]&lt;&gt;"",(TODAY()-emp_db[[#This Row],[Column1]])/365,""))</f>
        <v/>
      </c>
      <c r="R794" s="42" t="str">
        <f ca="1">IF(emp_db[[#This Row],[Date of Birth]]&lt;&gt;"",(TODAY()-emp_db[[#This Row],[Date of Birth]])/365,"")</f>
        <v/>
      </c>
      <c r="S794" s="42">
        <f>YEAR(emp_db[[#This Row],[Column1]])</f>
        <v>1900</v>
      </c>
      <c r="T794" s="42">
        <f>MONTH(emp_db[[#This Row],[Column1]])</f>
        <v>1</v>
      </c>
      <c r="U794" s="42">
        <f>IFERROR(YEAR(emp_db[[#This Row],[Exit Date]]),"")</f>
        <v>1900</v>
      </c>
      <c r="V794" s="42">
        <f>IFERROR(MONTH(emp_db[[#This Row],[Exit Date]]),"")</f>
        <v>1</v>
      </c>
    </row>
    <row r="795" spans="2:22">
      <c r="B795" s="39"/>
      <c r="C795" s="39"/>
      <c r="D795" s="39"/>
      <c r="E795" s="39"/>
      <c r="F795" s="40"/>
      <c r="G795" s="38"/>
      <c r="H795" s="43"/>
      <c r="I795" s="43"/>
      <c r="J795" s="39"/>
      <c r="K795" s="38"/>
      <c r="L795" s="39"/>
      <c r="M795" s="39"/>
      <c r="N795" s="43"/>
      <c r="O795" s="38"/>
      <c r="P795" s="38"/>
      <c r="Q795" s="41" t="str">
        <f ca="1">IF(emp_db[[#This Row],[Exit Date]]&lt;&gt;"",(emp_db[[#This Row],[Exit Date]]-emp_db[[#This Row],[Column1]])/365,IF(emp_db[[#This Row],[ID]]&lt;&gt;"",(TODAY()-emp_db[[#This Row],[Column1]])/365,""))</f>
        <v/>
      </c>
      <c r="R795" s="42" t="str">
        <f ca="1">IF(emp_db[[#This Row],[Date of Birth]]&lt;&gt;"",(TODAY()-emp_db[[#This Row],[Date of Birth]])/365,"")</f>
        <v/>
      </c>
      <c r="S795" s="42">
        <f>YEAR(emp_db[[#This Row],[Column1]])</f>
        <v>1900</v>
      </c>
      <c r="T795" s="42">
        <f>MONTH(emp_db[[#This Row],[Column1]])</f>
        <v>1</v>
      </c>
      <c r="U795" s="42">
        <f>IFERROR(YEAR(emp_db[[#This Row],[Exit Date]]),"")</f>
        <v>1900</v>
      </c>
      <c r="V795" s="42">
        <f>IFERROR(MONTH(emp_db[[#This Row],[Exit Date]]),"")</f>
        <v>1</v>
      </c>
    </row>
    <row r="796" spans="2:22">
      <c r="B796" s="39"/>
      <c r="C796" s="39"/>
      <c r="D796" s="39"/>
      <c r="E796" s="39"/>
      <c r="F796" s="40"/>
      <c r="G796" s="38"/>
      <c r="H796" s="43"/>
      <c r="I796" s="43"/>
      <c r="J796" s="39"/>
      <c r="K796" s="38"/>
      <c r="L796" s="39"/>
      <c r="M796" s="39"/>
      <c r="N796" s="43"/>
      <c r="O796" s="38"/>
      <c r="P796" s="38"/>
      <c r="Q796" s="41" t="str">
        <f ca="1">IF(emp_db[[#This Row],[Exit Date]]&lt;&gt;"",(emp_db[[#This Row],[Exit Date]]-emp_db[[#This Row],[Column1]])/365,IF(emp_db[[#This Row],[ID]]&lt;&gt;"",(TODAY()-emp_db[[#This Row],[Column1]])/365,""))</f>
        <v/>
      </c>
      <c r="R796" s="42" t="str">
        <f ca="1">IF(emp_db[[#This Row],[Date of Birth]]&lt;&gt;"",(TODAY()-emp_db[[#This Row],[Date of Birth]])/365,"")</f>
        <v/>
      </c>
      <c r="S796" s="42">
        <f>YEAR(emp_db[[#This Row],[Column1]])</f>
        <v>1900</v>
      </c>
      <c r="T796" s="42">
        <f>MONTH(emp_db[[#This Row],[Column1]])</f>
        <v>1</v>
      </c>
      <c r="U796" s="42">
        <f>IFERROR(YEAR(emp_db[[#This Row],[Exit Date]]),"")</f>
        <v>1900</v>
      </c>
      <c r="V796" s="42">
        <f>IFERROR(MONTH(emp_db[[#This Row],[Exit Date]]),"")</f>
        <v>1</v>
      </c>
    </row>
    <row r="797" spans="2:22">
      <c r="B797" s="39"/>
      <c r="C797" s="39"/>
      <c r="D797" s="39"/>
      <c r="E797" s="39"/>
      <c r="F797" s="40"/>
      <c r="G797" s="38"/>
      <c r="H797" s="43"/>
      <c r="I797" s="43"/>
      <c r="J797" s="39"/>
      <c r="K797" s="38"/>
      <c r="L797" s="39"/>
      <c r="M797" s="39"/>
      <c r="N797" s="43"/>
      <c r="O797" s="38"/>
      <c r="P797" s="38"/>
      <c r="Q797" s="41" t="str">
        <f ca="1">IF(emp_db[[#This Row],[Exit Date]]&lt;&gt;"",(emp_db[[#This Row],[Exit Date]]-emp_db[[#This Row],[Column1]])/365,IF(emp_db[[#This Row],[ID]]&lt;&gt;"",(TODAY()-emp_db[[#This Row],[Column1]])/365,""))</f>
        <v/>
      </c>
      <c r="R797" s="42" t="str">
        <f ca="1">IF(emp_db[[#This Row],[Date of Birth]]&lt;&gt;"",(TODAY()-emp_db[[#This Row],[Date of Birth]])/365,"")</f>
        <v/>
      </c>
      <c r="S797" s="42">
        <f>YEAR(emp_db[[#This Row],[Column1]])</f>
        <v>1900</v>
      </c>
      <c r="T797" s="42">
        <f>MONTH(emp_db[[#This Row],[Column1]])</f>
        <v>1</v>
      </c>
      <c r="U797" s="42">
        <f>IFERROR(YEAR(emp_db[[#This Row],[Exit Date]]),"")</f>
        <v>1900</v>
      </c>
      <c r="V797" s="42">
        <f>IFERROR(MONTH(emp_db[[#This Row],[Exit Date]]),"")</f>
        <v>1</v>
      </c>
    </row>
    <row r="798" spans="2:22">
      <c r="B798" s="39"/>
      <c r="C798" s="39"/>
      <c r="D798" s="39"/>
      <c r="E798" s="39"/>
      <c r="F798" s="40"/>
      <c r="G798" s="38"/>
      <c r="H798" s="43"/>
      <c r="I798" s="43"/>
      <c r="J798" s="39"/>
      <c r="K798" s="38"/>
      <c r="L798" s="39"/>
      <c r="M798" s="39"/>
      <c r="N798" s="43"/>
      <c r="O798" s="38"/>
      <c r="P798" s="38"/>
      <c r="Q798" s="41" t="str">
        <f ca="1">IF(emp_db[[#This Row],[Exit Date]]&lt;&gt;"",(emp_db[[#This Row],[Exit Date]]-emp_db[[#This Row],[Column1]])/365,IF(emp_db[[#This Row],[ID]]&lt;&gt;"",(TODAY()-emp_db[[#This Row],[Column1]])/365,""))</f>
        <v/>
      </c>
      <c r="R798" s="42" t="str">
        <f ca="1">IF(emp_db[[#This Row],[Date of Birth]]&lt;&gt;"",(TODAY()-emp_db[[#This Row],[Date of Birth]])/365,"")</f>
        <v/>
      </c>
      <c r="S798" s="42">
        <f>YEAR(emp_db[[#This Row],[Column1]])</f>
        <v>1900</v>
      </c>
      <c r="T798" s="42">
        <f>MONTH(emp_db[[#This Row],[Column1]])</f>
        <v>1</v>
      </c>
      <c r="U798" s="42">
        <f>IFERROR(YEAR(emp_db[[#This Row],[Exit Date]]),"")</f>
        <v>1900</v>
      </c>
      <c r="V798" s="42">
        <f>IFERROR(MONTH(emp_db[[#This Row],[Exit Date]]),"")</f>
        <v>1</v>
      </c>
    </row>
    <row r="799" spans="2:22">
      <c r="B799" s="39"/>
      <c r="C799" s="39"/>
      <c r="D799" s="39"/>
      <c r="E799" s="39"/>
      <c r="F799" s="40"/>
      <c r="G799" s="38"/>
      <c r="H799" s="43"/>
      <c r="I799" s="43"/>
      <c r="J799" s="39"/>
      <c r="K799" s="38"/>
      <c r="L799" s="39"/>
      <c r="M799" s="39"/>
      <c r="N799" s="43"/>
      <c r="O799" s="38"/>
      <c r="P799" s="38"/>
      <c r="Q799" s="41" t="str">
        <f ca="1">IF(emp_db[[#This Row],[Exit Date]]&lt;&gt;"",(emp_db[[#This Row],[Exit Date]]-emp_db[[#This Row],[Column1]])/365,IF(emp_db[[#This Row],[ID]]&lt;&gt;"",(TODAY()-emp_db[[#This Row],[Column1]])/365,""))</f>
        <v/>
      </c>
      <c r="R799" s="42" t="str">
        <f ca="1">IF(emp_db[[#This Row],[Date of Birth]]&lt;&gt;"",(TODAY()-emp_db[[#This Row],[Date of Birth]])/365,"")</f>
        <v/>
      </c>
      <c r="S799" s="42">
        <f>YEAR(emp_db[[#This Row],[Column1]])</f>
        <v>1900</v>
      </c>
      <c r="T799" s="42">
        <f>MONTH(emp_db[[#This Row],[Column1]])</f>
        <v>1</v>
      </c>
      <c r="U799" s="42">
        <f>IFERROR(YEAR(emp_db[[#This Row],[Exit Date]]),"")</f>
        <v>1900</v>
      </c>
      <c r="V799" s="42">
        <f>IFERROR(MONTH(emp_db[[#This Row],[Exit Date]]),"")</f>
        <v>1</v>
      </c>
    </row>
    <row r="800" spans="2:22">
      <c r="B800" s="39"/>
      <c r="C800" s="39"/>
      <c r="D800" s="39"/>
      <c r="E800" s="39"/>
      <c r="F800" s="40"/>
      <c r="G800" s="38"/>
      <c r="H800" s="43"/>
      <c r="I800" s="43"/>
      <c r="J800" s="39"/>
      <c r="K800" s="38"/>
      <c r="L800" s="39"/>
      <c r="M800" s="39"/>
      <c r="N800" s="43"/>
      <c r="O800" s="38"/>
      <c r="P800" s="38"/>
      <c r="Q800" s="41" t="str">
        <f ca="1">IF(emp_db[[#This Row],[Exit Date]]&lt;&gt;"",(emp_db[[#This Row],[Exit Date]]-emp_db[[#This Row],[Column1]])/365,IF(emp_db[[#This Row],[ID]]&lt;&gt;"",(TODAY()-emp_db[[#This Row],[Column1]])/365,""))</f>
        <v/>
      </c>
      <c r="R800" s="42" t="str">
        <f ca="1">IF(emp_db[[#This Row],[Date of Birth]]&lt;&gt;"",(TODAY()-emp_db[[#This Row],[Date of Birth]])/365,"")</f>
        <v/>
      </c>
      <c r="S800" s="42">
        <f>YEAR(emp_db[[#This Row],[Column1]])</f>
        <v>1900</v>
      </c>
      <c r="T800" s="42">
        <f>MONTH(emp_db[[#This Row],[Column1]])</f>
        <v>1</v>
      </c>
      <c r="U800" s="42">
        <f>IFERROR(YEAR(emp_db[[#This Row],[Exit Date]]),"")</f>
        <v>1900</v>
      </c>
      <c r="V800" s="42">
        <f>IFERROR(MONTH(emp_db[[#This Row],[Exit Date]]),"")</f>
        <v>1</v>
      </c>
    </row>
    <row r="801" spans="2:22">
      <c r="B801" s="39"/>
      <c r="C801" s="39"/>
      <c r="D801" s="39"/>
      <c r="E801" s="39"/>
      <c r="F801" s="40"/>
      <c r="G801" s="38"/>
      <c r="H801" s="43"/>
      <c r="I801" s="43"/>
      <c r="J801" s="39"/>
      <c r="K801" s="38"/>
      <c r="L801" s="39"/>
      <c r="M801" s="39"/>
      <c r="N801" s="43"/>
      <c r="O801" s="38"/>
      <c r="P801" s="38"/>
      <c r="Q801" s="41" t="str">
        <f ca="1">IF(emp_db[[#This Row],[Exit Date]]&lt;&gt;"",(emp_db[[#This Row],[Exit Date]]-emp_db[[#This Row],[Column1]])/365,IF(emp_db[[#This Row],[ID]]&lt;&gt;"",(TODAY()-emp_db[[#This Row],[Column1]])/365,""))</f>
        <v/>
      </c>
      <c r="R801" s="42" t="str">
        <f ca="1">IF(emp_db[[#This Row],[Date of Birth]]&lt;&gt;"",(TODAY()-emp_db[[#This Row],[Date of Birth]])/365,"")</f>
        <v/>
      </c>
      <c r="S801" s="42">
        <f>YEAR(emp_db[[#This Row],[Column1]])</f>
        <v>1900</v>
      </c>
      <c r="T801" s="42">
        <f>MONTH(emp_db[[#This Row],[Column1]])</f>
        <v>1</v>
      </c>
      <c r="U801" s="42">
        <f>IFERROR(YEAR(emp_db[[#This Row],[Exit Date]]),"")</f>
        <v>1900</v>
      </c>
      <c r="V801" s="42">
        <f>IFERROR(MONTH(emp_db[[#This Row],[Exit Date]]),"")</f>
        <v>1</v>
      </c>
    </row>
    <row r="802" spans="2:22">
      <c r="B802" s="39"/>
      <c r="C802" s="39"/>
      <c r="D802" s="39"/>
      <c r="E802" s="39"/>
      <c r="F802" s="40"/>
      <c r="G802" s="38"/>
      <c r="H802" s="43"/>
      <c r="I802" s="43"/>
      <c r="J802" s="39"/>
      <c r="K802" s="38"/>
      <c r="L802" s="39"/>
      <c r="M802" s="39"/>
      <c r="N802" s="43"/>
      <c r="O802" s="38"/>
      <c r="P802" s="38"/>
      <c r="Q802" s="41" t="str">
        <f ca="1">IF(emp_db[[#This Row],[Exit Date]]&lt;&gt;"",(emp_db[[#This Row],[Exit Date]]-emp_db[[#This Row],[Column1]])/365,IF(emp_db[[#This Row],[ID]]&lt;&gt;"",(TODAY()-emp_db[[#This Row],[Column1]])/365,""))</f>
        <v/>
      </c>
      <c r="R802" s="42" t="str">
        <f ca="1">IF(emp_db[[#This Row],[Date of Birth]]&lt;&gt;"",(TODAY()-emp_db[[#This Row],[Date of Birth]])/365,"")</f>
        <v/>
      </c>
      <c r="S802" s="42">
        <f>YEAR(emp_db[[#This Row],[Column1]])</f>
        <v>1900</v>
      </c>
      <c r="T802" s="42">
        <f>MONTH(emp_db[[#This Row],[Column1]])</f>
        <v>1</v>
      </c>
      <c r="U802" s="42">
        <f>IFERROR(YEAR(emp_db[[#This Row],[Exit Date]]),"")</f>
        <v>1900</v>
      </c>
      <c r="V802" s="42">
        <f>IFERROR(MONTH(emp_db[[#This Row],[Exit Date]]),"")</f>
        <v>1</v>
      </c>
    </row>
    <row r="803" spans="2:22">
      <c r="B803" s="39"/>
      <c r="C803" s="39"/>
      <c r="D803" s="39"/>
      <c r="E803" s="39"/>
      <c r="F803" s="40"/>
      <c r="G803" s="38"/>
      <c r="H803" s="43"/>
      <c r="I803" s="43"/>
      <c r="J803" s="39"/>
      <c r="K803" s="38"/>
      <c r="L803" s="39"/>
      <c r="M803" s="39"/>
      <c r="N803" s="43"/>
      <c r="O803" s="38"/>
      <c r="P803" s="38"/>
      <c r="Q803" s="41" t="str">
        <f ca="1">IF(emp_db[[#This Row],[Exit Date]]&lt;&gt;"",(emp_db[[#This Row],[Exit Date]]-emp_db[[#This Row],[Column1]])/365,IF(emp_db[[#This Row],[ID]]&lt;&gt;"",(TODAY()-emp_db[[#This Row],[Column1]])/365,""))</f>
        <v/>
      </c>
      <c r="R803" s="42" t="str">
        <f ca="1">IF(emp_db[[#This Row],[Date of Birth]]&lt;&gt;"",(TODAY()-emp_db[[#This Row],[Date of Birth]])/365,"")</f>
        <v/>
      </c>
      <c r="S803" s="42">
        <f>YEAR(emp_db[[#This Row],[Column1]])</f>
        <v>1900</v>
      </c>
      <c r="T803" s="42">
        <f>MONTH(emp_db[[#This Row],[Column1]])</f>
        <v>1</v>
      </c>
      <c r="U803" s="42">
        <f>IFERROR(YEAR(emp_db[[#This Row],[Exit Date]]),"")</f>
        <v>1900</v>
      </c>
      <c r="V803" s="42">
        <f>IFERROR(MONTH(emp_db[[#This Row],[Exit Date]]),"")</f>
        <v>1</v>
      </c>
    </row>
    <row r="804" spans="2:22">
      <c r="B804" s="39"/>
      <c r="C804" s="39"/>
      <c r="D804" s="39"/>
      <c r="E804" s="39"/>
      <c r="F804" s="40"/>
      <c r="G804" s="38"/>
      <c r="H804" s="43"/>
      <c r="I804" s="43"/>
      <c r="J804" s="39"/>
      <c r="K804" s="38"/>
      <c r="L804" s="39"/>
      <c r="M804" s="39"/>
      <c r="N804" s="43"/>
      <c r="O804" s="38"/>
      <c r="P804" s="38"/>
      <c r="Q804" s="41" t="str">
        <f ca="1">IF(emp_db[[#This Row],[Exit Date]]&lt;&gt;"",(emp_db[[#This Row],[Exit Date]]-emp_db[[#This Row],[Column1]])/365,IF(emp_db[[#This Row],[ID]]&lt;&gt;"",(TODAY()-emp_db[[#This Row],[Column1]])/365,""))</f>
        <v/>
      </c>
      <c r="R804" s="42" t="str">
        <f ca="1">IF(emp_db[[#This Row],[Date of Birth]]&lt;&gt;"",(TODAY()-emp_db[[#This Row],[Date of Birth]])/365,"")</f>
        <v/>
      </c>
      <c r="S804" s="42">
        <f>YEAR(emp_db[[#This Row],[Column1]])</f>
        <v>1900</v>
      </c>
      <c r="T804" s="42">
        <f>MONTH(emp_db[[#This Row],[Column1]])</f>
        <v>1</v>
      </c>
      <c r="U804" s="42">
        <f>IFERROR(YEAR(emp_db[[#This Row],[Exit Date]]),"")</f>
        <v>1900</v>
      </c>
      <c r="V804" s="42">
        <f>IFERROR(MONTH(emp_db[[#This Row],[Exit Date]]),"")</f>
        <v>1</v>
      </c>
    </row>
    <row r="805" spans="2:22">
      <c r="B805" s="39"/>
      <c r="C805" s="39"/>
      <c r="D805" s="39"/>
      <c r="E805" s="39"/>
      <c r="F805" s="40"/>
      <c r="G805" s="38"/>
      <c r="H805" s="43"/>
      <c r="I805" s="43"/>
      <c r="J805" s="39"/>
      <c r="K805" s="38"/>
      <c r="L805" s="39"/>
      <c r="M805" s="39"/>
      <c r="N805" s="43"/>
      <c r="O805" s="38"/>
      <c r="P805" s="38"/>
      <c r="Q805" s="41" t="str">
        <f ca="1">IF(emp_db[[#This Row],[Exit Date]]&lt;&gt;"",(emp_db[[#This Row],[Exit Date]]-emp_db[[#This Row],[Column1]])/365,IF(emp_db[[#This Row],[ID]]&lt;&gt;"",(TODAY()-emp_db[[#This Row],[Column1]])/365,""))</f>
        <v/>
      </c>
      <c r="R805" s="42" t="str">
        <f ca="1">IF(emp_db[[#This Row],[Date of Birth]]&lt;&gt;"",(TODAY()-emp_db[[#This Row],[Date of Birth]])/365,"")</f>
        <v/>
      </c>
      <c r="S805" s="42">
        <f>YEAR(emp_db[[#This Row],[Column1]])</f>
        <v>1900</v>
      </c>
      <c r="T805" s="42">
        <f>MONTH(emp_db[[#This Row],[Column1]])</f>
        <v>1</v>
      </c>
      <c r="U805" s="42">
        <f>IFERROR(YEAR(emp_db[[#This Row],[Exit Date]]),"")</f>
        <v>1900</v>
      </c>
      <c r="V805" s="42">
        <f>IFERROR(MONTH(emp_db[[#This Row],[Exit Date]]),"")</f>
        <v>1</v>
      </c>
    </row>
    <row r="806" spans="2:22">
      <c r="B806" s="39"/>
      <c r="C806" s="39"/>
      <c r="D806" s="39"/>
      <c r="E806" s="39"/>
      <c r="F806" s="40"/>
      <c r="G806" s="38"/>
      <c r="H806" s="43"/>
      <c r="I806" s="43"/>
      <c r="J806" s="39"/>
      <c r="K806" s="38"/>
      <c r="L806" s="39"/>
      <c r="M806" s="39"/>
      <c r="N806" s="43"/>
      <c r="O806" s="38"/>
      <c r="P806" s="38"/>
      <c r="Q806" s="41" t="str">
        <f ca="1">IF(emp_db[[#This Row],[Exit Date]]&lt;&gt;"",(emp_db[[#This Row],[Exit Date]]-emp_db[[#This Row],[Column1]])/365,IF(emp_db[[#This Row],[ID]]&lt;&gt;"",(TODAY()-emp_db[[#This Row],[Column1]])/365,""))</f>
        <v/>
      </c>
      <c r="R806" s="42" t="str">
        <f ca="1">IF(emp_db[[#This Row],[Date of Birth]]&lt;&gt;"",(TODAY()-emp_db[[#This Row],[Date of Birth]])/365,"")</f>
        <v/>
      </c>
      <c r="S806" s="42">
        <f>YEAR(emp_db[[#This Row],[Column1]])</f>
        <v>1900</v>
      </c>
      <c r="T806" s="42">
        <f>MONTH(emp_db[[#This Row],[Column1]])</f>
        <v>1</v>
      </c>
      <c r="U806" s="42">
        <f>IFERROR(YEAR(emp_db[[#This Row],[Exit Date]]),"")</f>
        <v>1900</v>
      </c>
      <c r="V806" s="42">
        <f>IFERROR(MONTH(emp_db[[#This Row],[Exit Date]]),"")</f>
        <v>1</v>
      </c>
    </row>
    <row r="807" spans="2:22">
      <c r="B807" s="39"/>
      <c r="C807" s="39"/>
      <c r="D807" s="39"/>
      <c r="E807" s="39"/>
      <c r="F807" s="40"/>
      <c r="G807" s="38"/>
      <c r="H807" s="43"/>
      <c r="I807" s="43"/>
      <c r="J807" s="39"/>
      <c r="K807" s="38"/>
      <c r="L807" s="39"/>
      <c r="M807" s="39"/>
      <c r="N807" s="43"/>
      <c r="O807" s="38"/>
      <c r="P807" s="38"/>
      <c r="Q807" s="41" t="str">
        <f ca="1">IF(emp_db[[#This Row],[Exit Date]]&lt;&gt;"",(emp_db[[#This Row],[Exit Date]]-emp_db[[#This Row],[Column1]])/365,IF(emp_db[[#This Row],[ID]]&lt;&gt;"",(TODAY()-emp_db[[#This Row],[Column1]])/365,""))</f>
        <v/>
      </c>
      <c r="R807" s="42" t="str">
        <f ca="1">IF(emp_db[[#This Row],[Date of Birth]]&lt;&gt;"",(TODAY()-emp_db[[#This Row],[Date of Birth]])/365,"")</f>
        <v/>
      </c>
      <c r="S807" s="42">
        <f>YEAR(emp_db[[#This Row],[Column1]])</f>
        <v>1900</v>
      </c>
      <c r="T807" s="42">
        <f>MONTH(emp_db[[#This Row],[Column1]])</f>
        <v>1</v>
      </c>
      <c r="U807" s="42">
        <f>IFERROR(YEAR(emp_db[[#This Row],[Exit Date]]),"")</f>
        <v>1900</v>
      </c>
      <c r="V807" s="42">
        <f>IFERROR(MONTH(emp_db[[#This Row],[Exit Date]]),"")</f>
        <v>1</v>
      </c>
    </row>
    <row r="808" spans="2:22">
      <c r="B808" s="39"/>
      <c r="C808" s="39"/>
      <c r="D808" s="39"/>
      <c r="E808" s="39"/>
      <c r="F808" s="40"/>
      <c r="G808" s="38"/>
      <c r="H808" s="43"/>
      <c r="I808" s="43"/>
      <c r="J808" s="39"/>
      <c r="K808" s="38"/>
      <c r="L808" s="39"/>
      <c r="M808" s="39"/>
      <c r="N808" s="43"/>
      <c r="O808" s="38"/>
      <c r="P808" s="38"/>
      <c r="Q808" s="41" t="str">
        <f ca="1">IF(emp_db[[#This Row],[Exit Date]]&lt;&gt;"",(emp_db[[#This Row],[Exit Date]]-emp_db[[#This Row],[Column1]])/365,IF(emp_db[[#This Row],[ID]]&lt;&gt;"",(TODAY()-emp_db[[#This Row],[Column1]])/365,""))</f>
        <v/>
      </c>
      <c r="R808" s="42" t="str">
        <f ca="1">IF(emp_db[[#This Row],[Date of Birth]]&lt;&gt;"",(TODAY()-emp_db[[#This Row],[Date of Birth]])/365,"")</f>
        <v/>
      </c>
      <c r="S808" s="42">
        <f>YEAR(emp_db[[#This Row],[Column1]])</f>
        <v>1900</v>
      </c>
      <c r="T808" s="42">
        <f>MONTH(emp_db[[#This Row],[Column1]])</f>
        <v>1</v>
      </c>
      <c r="U808" s="42">
        <f>IFERROR(YEAR(emp_db[[#This Row],[Exit Date]]),"")</f>
        <v>1900</v>
      </c>
      <c r="V808" s="42">
        <f>IFERROR(MONTH(emp_db[[#This Row],[Exit Date]]),"")</f>
        <v>1</v>
      </c>
    </row>
    <row r="809" spans="2:22">
      <c r="B809" s="39"/>
      <c r="C809" s="39"/>
      <c r="D809" s="39"/>
      <c r="E809" s="39"/>
      <c r="F809" s="40"/>
      <c r="G809" s="38"/>
      <c r="H809" s="43"/>
      <c r="I809" s="43"/>
      <c r="J809" s="39"/>
      <c r="K809" s="38"/>
      <c r="L809" s="39"/>
      <c r="M809" s="39"/>
      <c r="N809" s="43"/>
      <c r="O809" s="38"/>
      <c r="P809" s="38"/>
      <c r="Q809" s="41" t="str">
        <f ca="1">IF(emp_db[[#This Row],[Exit Date]]&lt;&gt;"",(emp_db[[#This Row],[Exit Date]]-emp_db[[#This Row],[Column1]])/365,IF(emp_db[[#This Row],[ID]]&lt;&gt;"",(TODAY()-emp_db[[#This Row],[Column1]])/365,""))</f>
        <v/>
      </c>
      <c r="R809" s="42" t="str">
        <f ca="1">IF(emp_db[[#This Row],[Date of Birth]]&lt;&gt;"",(TODAY()-emp_db[[#This Row],[Date of Birth]])/365,"")</f>
        <v/>
      </c>
      <c r="S809" s="42">
        <f>YEAR(emp_db[[#This Row],[Column1]])</f>
        <v>1900</v>
      </c>
      <c r="T809" s="42">
        <f>MONTH(emp_db[[#This Row],[Column1]])</f>
        <v>1</v>
      </c>
      <c r="U809" s="42">
        <f>IFERROR(YEAR(emp_db[[#This Row],[Exit Date]]),"")</f>
        <v>1900</v>
      </c>
      <c r="V809" s="42">
        <f>IFERROR(MONTH(emp_db[[#This Row],[Exit Date]]),"")</f>
        <v>1</v>
      </c>
    </row>
    <row r="810" spans="2:22">
      <c r="B810" s="39"/>
      <c r="C810" s="39"/>
      <c r="D810" s="39"/>
      <c r="E810" s="39"/>
      <c r="F810" s="40"/>
      <c r="G810" s="38"/>
      <c r="H810" s="43"/>
      <c r="I810" s="43"/>
      <c r="J810" s="39"/>
      <c r="K810" s="38"/>
      <c r="L810" s="39"/>
      <c r="M810" s="39"/>
      <c r="N810" s="43"/>
      <c r="O810" s="38"/>
      <c r="P810" s="38"/>
      <c r="Q810" s="41" t="str">
        <f ca="1">IF(emp_db[[#This Row],[Exit Date]]&lt;&gt;"",(emp_db[[#This Row],[Exit Date]]-emp_db[[#This Row],[Column1]])/365,IF(emp_db[[#This Row],[ID]]&lt;&gt;"",(TODAY()-emp_db[[#This Row],[Column1]])/365,""))</f>
        <v/>
      </c>
      <c r="R810" s="42" t="str">
        <f ca="1">IF(emp_db[[#This Row],[Date of Birth]]&lt;&gt;"",(TODAY()-emp_db[[#This Row],[Date of Birth]])/365,"")</f>
        <v/>
      </c>
      <c r="S810" s="42">
        <f>YEAR(emp_db[[#This Row],[Column1]])</f>
        <v>1900</v>
      </c>
      <c r="T810" s="42">
        <f>MONTH(emp_db[[#This Row],[Column1]])</f>
        <v>1</v>
      </c>
      <c r="U810" s="42">
        <f>IFERROR(YEAR(emp_db[[#This Row],[Exit Date]]),"")</f>
        <v>1900</v>
      </c>
      <c r="V810" s="42">
        <f>IFERROR(MONTH(emp_db[[#This Row],[Exit Date]]),"")</f>
        <v>1</v>
      </c>
    </row>
    <row r="811" spans="2:22">
      <c r="B811" s="39"/>
      <c r="C811" s="39"/>
      <c r="D811" s="39"/>
      <c r="E811" s="39"/>
      <c r="F811" s="40"/>
      <c r="G811" s="38"/>
      <c r="H811" s="43"/>
      <c r="I811" s="43"/>
      <c r="J811" s="39"/>
      <c r="K811" s="38"/>
      <c r="L811" s="39"/>
      <c r="M811" s="39"/>
      <c r="N811" s="43"/>
      <c r="O811" s="38"/>
      <c r="P811" s="38"/>
      <c r="Q811" s="41" t="str">
        <f ca="1">IF(emp_db[[#This Row],[Exit Date]]&lt;&gt;"",(emp_db[[#This Row],[Exit Date]]-emp_db[[#This Row],[Column1]])/365,IF(emp_db[[#This Row],[ID]]&lt;&gt;"",(TODAY()-emp_db[[#This Row],[Column1]])/365,""))</f>
        <v/>
      </c>
      <c r="R811" s="42" t="str">
        <f ca="1">IF(emp_db[[#This Row],[Date of Birth]]&lt;&gt;"",(TODAY()-emp_db[[#This Row],[Date of Birth]])/365,"")</f>
        <v/>
      </c>
      <c r="S811" s="42">
        <f>YEAR(emp_db[[#This Row],[Column1]])</f>
        <v>1900</v>
      </c>
      <c r="T811" s="42">
        <f>MONTH(emp_db[[#This Row],[Column1]])</f>
        <v>1</v>
      </c>
      <c r="U811" s="42">
        <f>IFERROR(YEAR(emp_db[[#This Row],[Exit Date]]),"")</f>
        <v>1900</v>
      </c>
      <c r="V811" s="42">
        <f>IFERROR(MONTH(emp_db[[#This Row],[Exit Date]]),"")</f>
        <v>1</v>
      </c>
    </row>
    <row r="812" spans="2:22">
      <c r="B812" s="39"/>
      <c r="C812" s="39"/>
      <c r="D812" s="39"/>
      <c r="E812" s="39"/>
      <c r="F812" s="40"/>
      <c r="G812" s="38"/>
      <c r="H812" s="43"/>
      <c r="I812" s="43"/>
      <c r="J812" s="39"/>
      <c r="K812" s="38"/>
      <c r="L812" s="39"/>
      <c r="M812" s="39"/>
      <c r="N812" s="43"/>
      <c r="O812" s="38"/>
      <c r="P812" s="38"/>
      <c r="Q812" s="41" t="str">
        <f ca="1">IF(emp_db[[#This Row],[Exit Date]]&lt;&gt;"",(emp_db[[#This Row],[Exit Date]]-emp_db[[#This Row],[Column1]])/365,IF(emp_db[[#This Row],[ID]]&lt;&gt;"",(TODAY()-emp_db[[#This Row],[Column1]])/365,""))</f>
        <v/>
      </c>
      <c r="R812" s="42" t="str">
        <f ca="1">IF(emp_db[[#This Row],[Date of Birth]]&lt;&gt;"",(TODAY()-emp_db[[#This Row],[Date of Birth]])/365,"")</f>
        <v/>
      </c>
      <c r="S812" s="42">
        <f>YEAR(emp_db[[#This Row],[Column1]])</f>
        <v>1900</v>
      </c>
      <c r="T812" s="42">
        <f>MONTH(emp_db[[#This Row],[Column1]])</f>
        <v>1</v>
      </c>
      <c r="U812" s="42">
        <f>IFERROR(YEAR(emp_db[[#This Row],[Exit Date]]),"")</f>
        <v>1900</v>
      </c>
      <c r="V812" s="42">
        <f>IFERROR(MONTH(emp_db[[#This Row],[Exit Date]]),"")</f>
        <v>1</v>
      </c>
    </row>
    <row r="813" spans="2:22">
      <c r="B813" s="39"/>
      <c r="C813" s="39"/>
      <c r="D813" s="39"/>
      <c r="E813" s="39"/>
      <c r="F813" s="40"/>
      <c r="G813" s="38"/>
      <c r="H813" s="43"/>
      <c r="I813" s="43"/>
      <c r="J813" s="39"/>
      <c r="K813" s="38"/>
      <c r="L813" s="39"/>
      <c r="M813" s="39"/>
      <c r="N813" s="43"/>
      <c r="O813" s="38"/>
      <c r="P813" s="38"/>
      <c r="Q813" s="41" t="str">
        <f ca="1">IF(emp_db[[#This Row],[Exit Date]]&lt;&gt;"",(emp_db[[#This Row],[Exit Date]]-emp_db[[#This Row],[Column1]])/365,IF(emp_db[[#This Row],[ID]]&lt;&gt;"",(TODAY()-emp_db[[#This Row],[Column1]])/365,""))</f>
        <v/>
      </c>
      <c r="R813" s="42" t="str">
        <f ca="1">IF(emp_db[[#This Row],[Date of Birth]]&lt;&gt;"",(TODAY()-emp_db[[#This Row],[Date of Birth]])/365,"")</f>
        <v/>
      </c>
      <c r="S813" s="42">
        <f>YEAR(emp_db[[#This Row],[Column1]])</f>
        <v>1900</v>
      </c>
      <c r="T813" s="42">
        <f>MONTH(emp_db[[#This Row],[Column1]])</f>
        <v>1</v>
      </c>
      <c r="U813" s="42">
        <f>IFERROR(YEAR(emp_db[[#This Row],[Exit Date]]),"")</f>
        <v>1900</v>
      </c>
      <c r="V813" s="42">
        <f>IFERROR(MONTH(emp_db[[#This Row],[Exit Date]]),"")</f>
        <v>1</v>
      </c>
    </row>
    <row r="814" spans="2:22">
      <c r="B814" s="39"/>
      <c r="C814" s="39"/>
      <c r="D814" s="39"/>
      <c r="E814" s="39"/>
      <c r="F814" s="40"/>
      <c r="G814" s="38"/>
      <c r="H814" s="43"/>
      <c r="I814" s="43"/>
      <c r="J814" s="39"/>
      <c r="K814" s="38"/>
      <c r="L814" s="39"/>
      <c r="M814" s="39"/>
      <c r="N814" s="43"/>
      <c r="O814" s="38"/>
      <c r="P814" s="38"/>
      <c r="Q814" s="41" t="str">
        <f ca="1">IF(emp_db[[#This Row],[Exit Date]]&lt;&gt;"",(emp_db[[#This Row],[Exit Date]]-emp_db[[#This Row],[Column1]])/365,IF(emp_db[[#This Row],[ID]]&lt;&gt;"",(TODAY()-emp_db[[#This Row],[Column1]])/365,""))</f>
        <v/>
      </c>
      <c r="R814" s="42" t="str">
        <f ca="1">IF(emp_db[[#This Row],[Date of Birth]]&lt;&gt;"",(TODAY()-emp_db[[#This Row],[Date of Birth]])/365,"")</f>
        <v/>
      </c>
      <c r="S814" s="42">
        <f>YEAR(emp_db[[#This Row],[Column1]])</f>
        <v>1900</v>
      </c>
      <c r="T814" s="42">
        <f>MONTH(emp_db[[#This Row],[Column1]])</f>
        <v>1</v>
      </c>
      <c r="U814" s="42">
        <f>IFERROR(YEAR(emp_db[[#This Row],[Exit Date]]),"")</f>
        <v>1900</v>
      </c>
      <c r="V814" s="42">
        <f>IFERROR(MONTH(emp_db[[#This Row],[Exit Date]]),"")</f>
        <v>1</v>
      </c>
    </row>
    <row r="815" spans="2:22">
      <c r="B815" s="39"/>
      <c r="C815" s="39"/>
      <c r="D815" s="39"/>
      <c r="E815" s="39"/>
      <c r="F815" s="40"/>
      <c r="G815" s="38"/>
      <c r="H815" s="43"/>
      <c r="I815" s="43"/>
      <c r="J815" s="39"/>
      <c r="K815" s="38"/>
      <c r="L815" s="39"/>
      <c r="M815" s="39"/>
      <c r="N815" s="43"/>
      <c r="O815" s="38"/>
      <c r="P815" s="38"/>
      <c r="Q815" s="41" t="str">
        <f ca="1">IF(emp_db[[#This Row],[Exit Date]]&lt;&gt;"",(emp_db[[#This Row],[Exit Date]]-emp_db[[#This Row],[Column1]])/365,IF(emp_db[[#This Row],[ID]]&lt;&gt;"",(TODAY()-emp_db[[#This Row],[Column1]])/365,""))</f>
        <v/>
      </c>
      <c r="R815" s="42" t="str">
        <f ca="1">IF(emp_db[[#This Row],[Date of Birth]]&lt;&gt;"",(TODAY()-emp_db[[#This Row],[Date of Birth]])/365,"")</f>
        <v/>
      </c>
      <c r="S815" s="42">
        <f>YEAR(emp_db[[#This Row],[Column1]])</f>
        <v>1900</v>
      </c>
      <c r="T815" s="42">
        <f>MONTH(emp_db[[#This Row],[Column1]])</f>
        <v>1</v>
      </c>
      <c r="U815" s="42">
        <f>IFERROR(YEAR(emp_db[[#This Row],[Exit Date]]),"")</f>
        <v>1900</v>
      </c>
      <c r="V815" s="42">
        <f>IFERROR(MONTH(emp_db[[#This Row],[Exit Date]]),"")</f>
        <v>1</v>
      </c>
    </row>
    <row r="816" spans="2:22">
      <c r="B816" s="39"/>
      <c r="C816" s="39"/>
      <c r="D816" s="39"/>
      <c r="E816" s="39"/>
      <c r="F816" s="40"/>
      <c r="G816" s="38"/>
      <c r="H816" s="43"/>
      <c r="I816" s="43"/>
      <c r="J816" s="39"/>
      <c r="K816" s="38"/>
      <c r="L816" s="39"/>
      <c r="M816" s="39"/>
      <c r="N816" s="43"/>
      <c r="O816" s="38"/>
      <c r="P816" s="38"/>
      <c r="Q816" s="41" t="str">
        <f ca="1">IF(emp_db[[#This Row],[Exit Date]]&lt;&gt;"",(emp_db[[#This Row],[Exit Date]]-emp_db[[#This Row],[Column1]])/365,IF(emp_db[[#This Row],[ID]]&lt;&gt;"",(TODAY()-emp_db[[#This Row],[Column1]])/365,""))</f>
        <v/>
      </c>
      <c r="R816" s="42" t="str">
        <f ca="1">IF(emp_db[[#This Row],[Date of Birth]]&lt;&gt;"",(TODAY()-emp_db[[#This Row],[Date of Birth]])/365,"")</f>
        <v/>
      </c>
      <c r="S816" s="42">
        <f>YEAR(emp_db[[#This Row],[Column1]])</f>
        <v>1900</v>
      </c>
      <c r="T816" s="42">
        <f>MONTH(emp_db[[#This Row],[Column1]])</f>
        <v>1</v>
      </c>
      <c r="U816" s="42">
        <f>IFERROR(YEAR(emp_db[[#This Row],[Exit Date]]),"")</f>
        <v>1900</v>
      </c>
      <c r="V816" s="42">
        <f>IFERROR(MONTH(emp_db[[#This Row],[Exit Date]]),"")</f>
        <v>1</v>
      </c>
    </row>
    <row r="817" spans="2:22">
      <c r="B817" s="39"/>
      <c r="C817" s="39"/>
      <c r="D817" s="39"/>
      <c r="E817" s="39"/>
      <c r="F817" s="40"/>
      <c r="G817" s="38"/>
      <c r="H817" s="43"/>
      <c r="I817" s="43"/>
      <c r="J817" s="39"/>
      <c r="K817" s="38"/>
      <c r="L817" s="39"/>
      <c r="M817" s="39"/>
      <c r="N817" s="43"/>
      <c r="O817" s="38"/>
      <c r="P817" s="38"/>
      <c r="Q817" s="41" t="str">
        <f ca="1">IF(emp_db[[#This Row],[Exit Date]]&lt;&gt;"",(emp_db[[#This Row],[Exit Date]]-emp_db[[#This Row],[Column1]])/365,IF(emp_db[[#This Row],[ID]]&lt;&gt;"",(TODAY()-emp_db[[#This Row],[Column1]])/365,""))</f>
        <v/>
      </c>
      <c r="R817" s="42" t="str">
        <f ca="1">IF(emp_db[[#This Row],[Date of Birth]]&lt;&gt;"",(TODAY()-emp_db[[#This Row],[Date of Birth]])/365,"")</f>
        <v/>
      </c>
      <c r="S817" s="42">
        <f>YEAR(emp_db[[#This Row],[Column1]])</f>
        <v>1900</v>
      </c>
      <c r="T817" s="42">
        <f>MONTH(emp_db[[#This Row],[Column1]])</f>
        <v>1</v>
      </c>
      <c r="U817" s="42">
        <f>IFERROR(YEAR(emp_db[[#This Row],[Exit Date]]),"")</f>
        <v>1900</v>
      </c>
      <c r="V817" s="42">
        <f>IFERROR(MONTH(emp_db[[#This Row],[Exit Date]]),"")</f>
        <v>1</v>
      </c>
    </row>
    <row r="818" spans="2:22">
      <c r="B818" s="39"/>
      <c r="C818" s="39"/>
      <c r="D818" s="39"/>
      <c r="E818" s="39"/>
      <c r="F818" s="40"/>
      <c r="G818" s="38"/>
      <c r="H818" s="43"/>
      <c r="I818" s="43"/>
      <c r="J818" s="39"/>
      <c r="K818" s="38"/>
      <c r="L818" s="39"/>
      <c r="M818" s="39"/>
      <c r="N818" s="43"/>
      <c r="O818" s="38"/>
      <c r="P818" s="38"/>
      <c r="Q818" s="41" t="str">
        <f ca="1">IF(emp_db[[#This Row],[Exit Date]]&lt;&gt;"",(emp_db[[#This Row],[Exit Date]]-emp_db[[#This Row],[Column1]])/365,IF(emp_db[[#This Row],[ID]]&lt;&gt;"",(TODAY()-emp_db[[#This Row],[Column1]])/365,""))</f>
        <v/>
      </c>
      <c r="R818" s="42" t="str">
        <f ca="1">IF(emp_db[[#This Row],[Date of Birth]]&lt;&gt;"",(TODAY()-emp_db[[#This Row],[Date of Birth]])/365,"")</f>
        <v/>
      </c>
      <c r="S818" s="42">
        <f>YEAR(emp_db[[#This Row],[Column1]])</f>
        <v>1900</v>
      </c>
      <c r="T818" s="42">
        <f>MONTH(emp_db[[#This Row],[Column1]])</f>
        <v>1</v>
      </c>
      <c r="U818" s="42">
        <f>IFERROR(YEAR(emp_db[[#This Row],[Exit Date]]),"")</f>
        <v>1900</v>
      </c>
      <c r="V818" s="42">
        <f>IFERROR(MONTH(emp_db[[#This Row],[Exit Date]]),"")</f>
        <v>1</v>
      </c>
    </row>
    <row r="819" spans="2:22">
      <c r="B819" s="39"/>
      <c r="C819" s="39"/>
      <c r="D819" s="39"/>
      <c r="E819" s="39"/>
      <c r="F819" s="40"/>
      <c r="G819" s="38"/>
      <c r="H819" s="43"/>
      <c r="I819" s="43"/>
      <c r="J819" s="39"/>
      <c r="K819" s="38"/>
      <c r="L819" s="39"/>
      <c r="M819" s="39"/>
      <c r="N819" s="43"/>
      <c r="O819" s="38"/>
      <c r="P819" s="38"/>
      <c r="Q819" s="41" t="str">
        <f ca="1">IF(emp_db[[#This Row],[Exit Date]]&lt;&gt;"",(emp_db[[#This Row],[Exit Date]]-emp_db[[#This Row],[Column1]])/365,IF(emp_db[[#This Row],[ID]]&lt;&gt;"",(TODAY()-emp_db[[#This Row],[Column1]])/365,""))</f>
        <v/>
      </c>
      <c r="R819" s="42" t="str">
        <f ca="1">IF(emp_db[[#This Row],[Date of Birth]]&lt;&gt;"",(TODAY()-emp_db[[#This Row],[Date of Birth]])/365,"")</f>
        <v/>
      </c>
      <c r="S819" s="42">
        <f>YEAR(emp_db[[#This Row],[Column1]])</f>
        <v>1900</v>
      </c>
      <c r="T819" s="42">
        <f>MONTH(emp_db[[#This Row],[Column1]])</f>
        <v>1</v>
      </c>
      <c r="U819" s="42">
        <f>IFERROR(YEAR(emp_db[[#This Row],[Exit Date]]),"")</f>
        <v>1900</v>
      </c>
      <c r="V819" s="42">
        <f>IFERROR(MONTH(emp_db[[#This Row],[Exit Date]]),"")</f>
        <v>1</v>
      </c>
    </row>
    <row r="820" spans="2:22">
      <c r="B820" s="39"/>
      <c r="C820" s="39"/>
      <c r="D820" s="39"/>
      <c r="E820" s="39"/>
      <c r="F820" s="40"/>
      <c r="G820" s="38"/>
      <c r="H820" s="43"/>
      <c r="I820" s="43"/>
      <c r="J820" s="39"/>
      <c r="K820" s="38"/>
      <c r="L820" s="39"/>
      <c r="M820" s="39"/>
      <c r="N820" s="43"/>
      <c r="O820" s="38"/>
      <c r="P820" s="38"/>
      <c r="Q820" s="41" t="str">
        <f ca="1">IF(emp_db[[#This Row],[Exit Date]]&lt;&gt;"",(emp_db[[#This Row],[Exit Date]]-emp_db[[#This Row],[Column1]])/365,IF(emp_db[[#This Row],[ID]]&lt;&gt;"",(TODAY()-emp_db[[#This Row],[Column1]])/365,""))</f>
        <v/>
      </c>
      <c r="R820" s="42" t="str">
        <f ca="1">IF(emp_db[[#This Row],[Date of Birth]]&lt;&gt;"",(TODAY()-emp_db[[#This Row],[Date of Birth]])/365,"")</f>
        <v/>
      </c>
      <c r="S820" s="42">
        <f>YEAR(emp_db[[#This Row],[Column1]])</f>
        <v>1900</v>
      </c>
      <c r="T820" s="42">
        <f>MONTH(emp_db[[#This Row],[Column1]])</f>
        <v>1</v>
      </c>
      <c r="U820" s="42">
        <f>IFERROR(YEAR(emp_db[[#This Row],[Exit Date]]),"")</f>
        <v>1900</v>
      </c>
      <c r="V820" s="42">
        <f>IFERROR(MONTH(emp_db[[#This Row],[Exit Date]]),"")</f>
        <v>1</v>
      </c>
    </row>
    <row r="821" spans="2:22">
      <c r="B821" s="39"/>
      <c r="C821" s="39"/>
      <c r="D821" s="39"/>
      <c r="E821" s="39"/>
      <c r="F821" s="40"/>
      <c r="G821" s="38"/>
      <c r="H821" s="43"/>
      <c r="I821" s="43"/>
      <c r="J821" s="39"/>
      <c r="K821" s="38"/>
      <c r="L821" s="39"/>
      <c r="M821" s="39"/>
      <c r="N821" s="43"/>
      <c r="O821" s="38"/>
      <c r="P821" s="38"/>
      <c r="Q821" s="41" t="str">
        <f ca="1">IF(emp_db[[#This Row],[Exit Date]]&lt;&gt;"",(emp_db[[#This Row],[Exit Date]]-emp_db[[#This Row],[Column1]])/365,IF(emp_db[[#This Row],[ID]]&lt;&gt;"",(TODAY()-emp_db[[#This Row],[Column1]])/365,""))</f>
        <v/>
      </c>
      <c r="R821" s="42" t="str">
        <f ca="1">IF(emp_db[[#This Row],[Date of Birth]]&lt;&gt;"",(TODAY()-emp_db[[#This Row],[Date of Birth]])/365,"")</f>
        <v/>
      </c>
      <c r="S821" s="42">
        <f>YEAR(emp_db[[#This Row],[Column1]])</f>
        <v>1900</v>
      </c>
      <c r="T821" s="42">
        <f>MONTH(emp_db[[#This Row],[Column1]])</f>
        <v>1</v>
      </c>
      <c r="U821" s="42">
        <f>IFERROR(YEAR(emp_db[[#This Row],[Exit Date]]),"")</f>
        <v>1900</v>
      </c>
      <c r="V821" s="42">
        <f>IFERROR(MONTH(emp_db[[#This Row],[Exit Date]]),"")</f>
        <v>1</v>
      </c>
    </row>
    <row r="822" spans="2:22">
      <c r="B822" s="39"/>
      <c r="C822" s="39"/>
      <c r="D822" s="39"/>
      <c r="E822" s="39"/>
      <c r="F822" s="40"/>
      <c r="G822" s="38"/>
      <c r="H822" s="43"/>
      <c r="I822" s="43"/>
      <c r="J822" s="39"/>
      <c r="K822" s="38"/>
      <c r="L822" s="39"/>
      <c r="M822" s="39"/>
      <c r="N822" s="43"/>
      <c r="O822" s="38"/>
      <c r="P822" s="38"/>
      <c r="Q822" s="41" t="str">
        <f ca="1">IF(emp_db[[#This Row],[Exit Date]]&lt;&gt;"",(emp_db[[#This Row],[Exit Date]]-emp_db[[#This Row],[Column1]])/365,IF(emp_db[[#This Row],[ID]]&lt;&gt;"",(TODAY()-emp_db[[#This Row],[Column1]])/365,""))</f>
        <v/>
      </c>
      <c r="R822" s="42" t="str">
        <f ca="1">IF(emp_db[[#This Row],[Date of Birth]]&lt;&gt;"",(TODAY()-emp_db[[#This Row],[Date of Birth]])/365,"")</f>
        <v/>
      </c>
      <c r="S822" s="42">
        <f>YEAR(emp_db[[#This Row],[Column1]])</f>
        <v>1900</v>
      </c>
      <c r="T822" s="42">
        <f>MONTH(emp_db[[#This Row],[Column1]])</f>
        <v>1</v>
      </c>
      <c r="U822" s="42">
        <f>IFERROR(YEAR(emp_db[[#This Row],[Exit Date]]),"")</f>
        <v>1900</v>
      </c>
      <c r="V822" s="42">
        <f>IFERROR(MONTH(emp_db[[#This Row],[Exit Date]]),"")</f>
        <v>1</v>
      </c>
    </row>
    <row r="823" spans="2:22">
      <c r="B823" s="39"/>
      <c r="C823" s="39"/>
      <c r="D823" s="39"/>
      <c r="E823" s="39"/>
      <c r="F823" s="40"/>
      <c r="G823" s="38"/>
      <c r="H823" s="43"/>
      <c r="I823" s="43"/>
      <c r="J823" s="39"/>
      <c r="K823" s="38"/>
      <c r="L823" s="39"/>
      <c r="M823" s="39"/>
      <c r="N823" s="43"/>
      <c r="O823" s="38"/>
      <c r="P823" s="38"/>
      <c r="Q823" s="41" t="str">
        <f ca="1">IF(emp_db[[#This Row],[Exit Date]]&lt;&gt;"",(emp_db[[#This Row],[Exit Date]]-emp_db[[#This Row],[Column1]])/365,IF(emp_db[[#This Row],[ID]]&lt;&gt;"",(TODAY()-emp_db[[#This Row],[Column1]])/365,""))</f>
        <v/>
      </c>
      <c r="R823" s="42" t="str">
        <f ca="1">IF(emp_db[[#This Row],[Date of Birth]]&lt;&gt;"",(TODAY()-emp_db[[#This Row],[Date of Birth]])/365,"")</f>
        <v/>
      </c>
      <c r="S823" s="42">
        <f>YEAR(emp_db[[#This Row],[Column1]])</f>
        <v>1900</v>
      </c>
      <c r="T823" s="42">
        <f>MONTH(emp_db[[#This Row],[Column1]])</f>
        <v>1</v>
      </c>
      <c r="U823" s="42">
        <f>IFERROR(YEAR(emp_db[[#This Row],[Exit Date]]),"")</f>
        <v>1900</v>
      </c>
      <c r="V823" s="42">
        <f>IFERROR(MONTH(emp_db[[#This Row],[Exit Date]]),"")</f>
        <v>1</v>
      </c>
    </row>
    <row r="824" spans="2:22">
      <c r="B824" s="39"/>
      <c r="C824" s="39"/>
      <c r="D824" s="39"/>
      <c r="E824" s="39"/>
      <c r="F824" s="40"/>
      <c r="G824" s="38"/>
      <c r="H824" s="43"/>
      <c r="I824" s="43"/>
      <c r="J824" s="39"/>
      <c r="K824" s="38"/>
      <c r="L824" s="39"/>
      <c r="M824" s="39"/>
      <c r="N824" s="43"/>
      <c r="O824" s="38"/>
      <c r="P824" s="38"/>
      <c r="Q824" s="41" t="str">
        <f ca="1">IF(emp_db[[#This Row],[Exit Date]]&lt;&gt;"",(emp_db[[#This Row],[Exit Date]]-emp_db[[#This Row],[Column1]])/365,IF(emp_db[[#This Row],[ID]]&lt;&gt;"",(TODAY()-emp_db[[#This Row],[Column1]])/365,""))</f>
        <v/>
      </c>
      <c r="R824" s="42" t="str">
        <f ca="1">IF(emp_db[[#This Row],[Date of Birth]]&lt;&gt;"",(TODAY()-emp_db[[#This Row],[Date of Birth]])/365,"")</f>
        <v/>
      </c>
      <c r="S824" s="42">
        <f>YEAR(emp_db[[#This Row],[Column1]])</f>
        <v>1900</v>
      </c>
      <c r="T824" s="42">
        <f>MONTH(emp_db[[#This Row],[Column1]])</f>
        <v>1</v>
      </c>
      <c r="U824" s="42">
        <f>IFERROR(YEAR(emp_db[[#This Row],[Exit Date]]),"")</f>
        <v>1900</v>
      </c>
      <c r="V824" s="42">
        <f>IFERROR(MONTH(emp_db[[#This Row],[Exit Date]]),"")</f>
        <v>1</v>
      </c>
    </row>
    <row r="825" spans="2:22">
      <c r="B825" s="39"/>
      <c r="C825" s="39"/>
      <c r="D825" s="39"/>
      <c r="E825" s="39"/>
      <c r="F825" s="40"/>
      <c r="G825" s="38"/>
      <c r="H825" s="43"/>
      <c r="I825" s="43"/>
      <c r="J825" s="39"/>
      <c r="K825" s="38"/>
      <c r="L825" s="39"/>
      <c r="M825" s="39"/>
      <c r="N825" s="43"/>
      <c r="O825" s="38"/>
      <c r="P825" s="38"/>
      <c r="Q825" s="41" t="str">
        <f ca="1">IF(emp_db[[#This Row],[Exit Date]]&lt;&gt;"",(emp_db[[#This Row],[Exit Date]]-emp_db[[#This Row],[Column1]])/365,IF(emp_db[[#This Row],[ID]]&lt;&gt;"",(TODAY()-emp_db[[#This Row],[Column1]])/365,""))</f>
        <v/>
      </c>
      <c r="R825" s="42" t="str">
        <f ca="1">IF(emp_db[[#This Row],[Date of Birth]]&lt;&gt;"",(TODAY()-emp_db[[#This Row],[Date of Birth]])/365,"")</f>
        <v/>
      </c>
      <c r="S825" s="42">
        <f>YEAR(emp_db[[#This Row],[Column1]])</f>
        <v>1900</v>
      </c>
      <c r="T825" s="42">
        <f>MONTH(emp_db[[#This Row],[Column1]])</f>
        <v>1</v>
      </c>
      <c r="U825" s="42">
        <f>IFERROR(YEAR(emp_db[[#This Row],[Exit Date]]),"")</f>
        <v>1900</v>
      </c>
      <c r="V825" s="42">
        <f>IFERROR(MONTH(emp_db[[#This Row],[Exit Date]]),"")</f>
        <v>1</v>
      </c>
    </row>
    <row r="826" spans="2:22">
      <c r="B826" s="39"/>
      <c r="C826" s="39"/>
      <c r="D826" s="39"/>
      <c r="E826" s="39"/>
      <c r="F826" s="40"/>
      <c r="G826" s="38"/>
      <c r="H826" s="43"/>
      <c r="I826" s="43"/>
      <c r="J826" s="39"/>
      <c r="K826" s="38"/>
      <c r="L826" s="39"/>
      <c r="M826" s="39"/>
      <c r="N826" s="43"/>
      <c r="O826" s="38"/>
      <c r="P826" s="38"/>
      <c r="Q826" s="41" t="str">
        <f ca="1">IF(emp_db[[#This Row],[Exit Date]]&lt;&gt;"",(emp_db[[#This Row],[Exit Date]]-emp_db[[#This Row],[Column1]])/365,IF(emp_db[[#This Row],[ID]]&lt;&gt;"",(TODAY()-emp_db[[#This Row],[Column1]])/365,""))</f>
        <v/>
      </c>
      <c r="R826" s="42" t="str">
        <f ca="1">IF(emp_db[[#This Row],[Date of Birth]]&lt;&gt;"",(TODAY()-emp_db[[#This Row],[Date of Birth]])/365,"")</f>
        <v/>
      </c>
      <c r="S826" s="42">
        <f>YEAR(emp_db[[#This Row],[Column1]])</f>
        <v>1900</v>
      </c>
      <c r="T826" s="42">
        <f>MONTH(emp_db[[#This Row],[Column1]])</f>
        <v>1</v>
      </c>
      <c r="U826" s="42">
        <f>IFERROR(YEAR(emp_db[[#This Row],[Exit Date]]),"")</f>
        <v>1900</v>
      </c>
      <c r="V826" s="42">
        <f>IFERROR(MONTH(emp_db[[#This Row],[Exit Date]]),"")</f>
        <v>1</v>
      </c>
    </row>
    <row r="827" spans="2:22">
      <c r="B827" s="39"/>
      <c r="C827" s="39"/>
      <c r="D827" s="39"/>
      <c r="E827" s="39"/>
      <c r="F827" s="40"/>
      <c r="G827" s="38"/>
      <c r="H827" s="43"/>
      <c r="I827" s="43"/>
      <c r="J827" s="39"/>
      <c r="K827" s="38"/>
      <c r="L827" s="39"/>
      <c r="M827" s="39"/>
      <c r="N827" s="43"/>
      <c r="O827" s="38"/>
      <c r="P827" s="38"/>
      <c r="Q827" s="41" t="str">
        <f ca="1">IF(emp_db[[#This Row],[Exit Date]]&lt;&gt;"",(emp_db[[#This Row],[Exit Date]]-emp_db[[#This Row],[Column1]])/365,IF(emp_db[[#This Row],[ID]]&lt;&gt;"",(TODAY()-emp_db[[#This Row],[Column1]])/365,""))</f>
        <v/>
      </c>
      <c r="R827" s="42" t="str">
        <f ca="1">IF(emp_db[[#This Row],[Date of Birth]]&lt;&gt;"",(TODAY()-emp_db[[#This Row],[Date of Birth]])/365,"")</f>
        <v/>
      </c>
      <c r="S827" s="42">
        <f>YEAR(emp_db[[#This Row],[Column1]])</f>
        <v>1900</v>
      </c>
      <c r="T827" s="42">
        <f>MONTH(emp_db[[#This Row],[Column1]])</f>
        <v>1</v>
      </c>
      <c r="U827" s="42">
        <f>IFERROR(YEAR(emp_db[[#This Row],[Exit Date]]),"")</f>
        <v>1900</v>
      </c>
      <c r="V827" s="42">
        <f>IFERROR(MONTH(emp_db[[#This Row],[Exit Date]]),"")</f>
        <v>1</v>
      </c>
    </row>
    <row r="828" spans="2:22">
      <c r="B828" s="39"/>
      <c r="C828" s="39"/>
      <c r="D828" s="39"/>
      <c r="E828" s="39"/>
      <c r="F828" s="40"/>
      <c r="G828" s="38"/>
      <c r="H828" s="43"/>
      <c r="I828" s="43"/>
      <c r="J828" s="39"/>
      <c r="K828" s="38"/>
      <c r="L828" s="39"/>
      <c r="M828" s="39"/>
      <c r="N828" s="43"/>
      <c r="O828" s="38"/>
      <c r="P828" s="38"/>
      <c r="Q828" s="41" t="str">
        <f ca="1">IF(emp_db[[#This Row],[Exit Date]]&lt;&gt;"",(emp_db[[#This Row],[Exit Date]]-emp_db[[#This Row],[Column1]])/365,IF(emp_db[[#This Row],[ID]]&lt;&gt;"",(TODAY()-emp_db[[#This Row],[Column1]])/365,""))</f>
        <v/>
      </c>
      <c r="R828" s="42" t="str">
        <f ca="1">IF(emp_db[[#This Row],[Date of Birth]]&lt;&gt;"",(TODAY()-emp_db[[#This Row],[Date of Birth]])/365,"")</f>
        <v/>
      </c>
      <c r="S828" s="42">
        <f>YEAR(emp_db[[#This Row],[Column1]])</f>
        <v>1900</v>
      </c>
      <c r="T828" s="42">
        <f>MONTH(emp_db[[#This Row],[Column1]])</f>
        <v>1</v>
      </c>
      <c r="U828" s="42">
        <f>IFERROR(YEAR(emp_db[[#This Row],[Exit Date]]),"")</f>
        <v>1900</v>
      </c>
      <c r="V828" s="42">
        <f>IFERROR(MONTH(emp_db[[#This Row],[Exit Date]]),"")</f>
        <v>1</v>
      </c>
    </row>
    <row r="829" spans="2:22">
      <c r="B829" s="39"/>
      <c r="C829" s="39"/>
      <c r="D829" s="39"/>
      <c r="E829" s="39"/>
      <c r="F829" s="40"/>
      <c r="G829" s="38"/>
      <c r="H829" s="43"/>
      <c r="I829" s="43"/>
      <c r="J829" s="39"/>
      <c r="K829" s="38"/>
      <c r="L829" s="39"/>
      <c r="M829" s="39"/>
      <c r="N829" s="43"/>
      <c r="O829" s="38"/>
      <c r="P829" s="38"/>
      <c r="Q829" s="41" t="str">
        <f ca="1">IF(emp_db[[#This Row],[Exit Date]]&lt;&gt;"",(emp_db[[#This Row],[Exit Date]]-emp_db[[#This Row],[Column1]])/365,IF(emp_db[[#This Row],[ID]]&lt;&gt;"",(TODAY()-emp_db[[#This Row],[Column1]])/365,""))</f>
        <v/>
      </c>
      <c r="R829" s="42" t="str">
        <f ca="1">IF(emp_db[[#This Row],[Date of Birth]]&lt;&gt;"",(TODAY()-emp_db[[#This Row],[Date of Birth]])/365,"")</f>
        <v/>
      </c>
      <c r="S829" s="42">
        <f>YEAR(emp_db[[#This Row],[Column1]])</f>
        <v>1900</v>
      </c>
      <c r="T829" s="42">
        <f>MONTH(emp_db[[#This Row],[Column1]])</f>
        <v>1</v>
      </c>
      <c r="U829" s="42">
        <f>IFERROR(YEAR(emp_db[[#This Row],[Exit Date]]),"")</f>
        <v>1900</v>
      </c>
      <c r="V829" s="42">
        <f>IFERROR(MONTH(emp_db[[#This Row],[Exit Date]]),"")</f>
        <v>1</v>
      </c>
    </row>
    <row r="830" spans="2:22">
      <c r="B830" s="39"/>
      <c r="C830" s="39"/>
      <c r="D830" s="39"/>
      <c r="E830" s="39"/>
      <c r="F830" s="40"/>
      <c r="G830" s="38"/>
      <c r="H830" s="43"/>
      <c r="I830" s="43"/>
      <c r="J830" s="39"/>
      <c r="K830" s="38"/>
      <c r="L830" s="39"/>
      <c r="M830" s="39"/>
      <c r="N830" s="43"/>
      <c r="O830" s="38"/>
      <c r="P830" s="38"/>
      <c r="Q830" s="41" t="str">
        <f ca="1">IF(emp_db[[#This Row],[Exit Date]]&lt;&gt;"",(emp_db[[#This Row],[Exit Date]]-emp_db[[#This Row],[Column1]])/365,IF(emp_db[[#This Row],[ID]]&lt;&gt;"",(TODAY()-emp_db[[#This Row],[Column1]])/365,""))</f>
        <v/>
      </c>
      <c r="R830" s="42" t="str">
        <f ca="1">IF(emp_db[[#This Row],[Date of Birth]]&lt;&gt;"",(TODAY()-emp_db[[#This Row],[Date of Birth]])/365,"")</f>
        <v/>
      </c>
      <c r="S830" s="42">
        <f>YEAR(emp_db[[#This Row],[Column1]])</f>
        <v>1900</v>
      </c>
      <c r="T830" s="42">
        <f>MONTH(emp_db[[#This Row],[Column1]])</f>
        <v>1</v>
      </c>
      <c r="U830" s="42">
        <f>IFERROR(YEAR(emp_db[[#This Row],[Exit Date]]),"")</f>
        <v>1900</v>
      </c>
      <c r="V830" s="42">
        <f>IFERROR(MONTH(emp_db[[#This Row],[Exit Date]]),"")</f>
        <v>1</v>
      </c>
    </row>
    <row r="831" spans="2:22">
      <c r="B831" s="39"/>
      <c r="C831" s="39"/>
      <c r="D831" s="39"/>
      <c r="E831" s="39"/>
      <c r="F831" s="40"/>
      <c r="G831" s="38"/>
      <c r="H831" s="43"/>
      <c r="I831" s="43"/>
      <c r="J831" s="39"/>
      <c r="K831" s="38"/>
      <c r="L831" s="39"/>
      <c r="M831" s="39"/>
      <c r="N831" s="43"/>
      <c r="O831" s="38"/>
      <c r="P831" s="38"/>
      <c r="Q831" s="41" t="str">
        <f ca="1">IF(emp_db[[#This Row],[Exit Date]]&lt;&gt;"",(emp_db[[#This Row],[Exit Date]]-emp_db[[#This Row],[Column1]])/365,IF(emp_db[[#This Row],[ID]]&lt;&gt;"",(TODAY()-emp_db[[#This Row],[Column1]])/365,""))</f>
        <v/>
      </c>
      <c r="R831" s="42" t="str">
        <f ca="1">IF(emp_db[[#This Row],[Date of Birth]]&lt;&gt;"",(TODAY()-emp_db[[#This Row],[Date of Birth]])/365,"")</f>
        <v/>
      </c>
      <c r="S831" s="42">
        <f>YEAR(emp_db[[#This Row],[Column1]])</f>
        <v>1900</v>
      </c>
      <c r="T831" s="42">
        <f>MONTH(emp_db[[#This Row],[Column1]])</f>
        <v>1</v>
      </c>
      <c r="U831" s="42">
        <f>IFERROR(YEAR(emp_db[[#This Row],[Exit Date]]),"")</f>
        <v>1900</v>
      </c>
      <c r="V831" s="42">
        <f>IFERROR(MONTH(emp_db[[#This Row],[Exit Date]]),"")</f>
        <v>1</v>
      </c>
    </row>
    <row r="832" spans="2:22">
      <c r="B832" s="39"/>
      <c r="C832" s="39"/>
      <c r="D832" s="39"/>
      <c r="E832" s="39"/>
      <c r="F832" s="40"/>
      <c r="G832" s="38"/>
      <c r="H832" s="43"/>
      <c r="I832" s="43"/>
      <c r="J832" s="39"/>
      <c r="K832" s="38"/>
      <c r="L832" s="39"/>
      <c r="M832" s="39"/>
      <c r="N832" s="43"/>
      <c r="O832" s="38"/>
      <c r="P832" s="38"/>
      <c r="Q832" s="41" t="str">
        <f ca="1">IF(emp_db[[#This Row],[Exit Date]]&lt;&gt;"",(emp_db[[#This Row],[Exit Date]]-emp_db[[#This Row],[Column1]])/365,IF(emp_db[[#This Row],[ID]]&lt;&gt;"",(TODAY()-emp_db[[#This Row],[Column1]])/365,""))</f>
        <v/>
      </c>
      <c r="R832" s="42" t="str">
        <f ca="1">IF(emp_db[[#This Row],[Date of Birth]]&lt;&gt;"",(TODAY()-emp_db[[#This Row],[Date of Birth]])/365,"")</f>
        <v/>
      </c>
      <c r="S832" s="42">
        <f>YEAR(emp_db[[#This Row],[Column1]])</f>
        <v>1900</v>
      </c>
      <c r="T832" s="42">
        <f>MONTH(emp_db[[#This Row],[Column1]])</f>
        <v>1</v>
      </c>
      <c r="U832" s="42">
        <f>IFERROR(YEAR(emp_db[[#This Row],[Exit Date]]),"")</f>
        <v>1900</v>
      </c>
      <c r="V832" s="42">
        <f>IFERROR(MONTH(emp_db[[#This Row],[Exit Date]]),"")</f>
        <v>1</v>
      </c>
    </row>
    <row r="833" spans="2:22">
      <c r="B833" s="39"/>
      <c r="C833" s="39"/>
      <c r="D833" s="39"/>
      <c r="E833" s="39"/>
      <c r="F833" s="40"/>
      <c r="G833" s="38"/>
      <c r="H833" s="43"/>
      <c r="I833" s="43"/>
      <c r="J833" s="39"/>
      <c r="K833" s="38"/>
      <c r="L833" s="39"/>
      <c r="M833" s="39"/>
      <c r="N833" s="43"/>
      <c r="O833" s="38"/>
      <c r="P833" s="38"/>
      <c r="Q833" s="41" t="str">
        <f ca="1">IF(emp_db[[#This Row],[Exit Date]]&lt;&gt;"",(emp_db[[#This Row],[Exit Date]]-emp_db[[#This Row],[Column1]])/365,IF(emp_db[[#This Row],[ID]]&lt;&gt;"",(TODAY()-emp_db[[#This Row],[Column1]])/365,""))</f>
        <v/>
      </c>
      <c r="R833" s="42" t="str">
        <f ca="1">IF(emp_db[[#This Row],[Date of Birth]]&lt;&gt;"",(TODAY()-emp_db[[#This Row],[Date of Birth]])/365,"")</f>
        <v/>
      </c>
      <c r="S833" s="42">
        <f>YEAR(emp_db[[#This Row],[Column1]])</f>
        <v>1900</v>
      </c>
      <c r="T833" s="42">
        <f>MONTH(emp_db[[#This Row],[Column1]])</f>
        <v>1</v>
      </c>
      <c r="U833" s="42">
        <f>IFERROR(YEAR(emp_db[[#This Row],[Exit Date]]),"")</f>
        <v>1900</v>
      </c>
      <c r="V833" s="42">
        <f>IFERROR(MONTH(emp_db[[#This Row],[Exit Date]]),"")</f>
        <v>1</v>
      </c>
    </row>
    <row r="834" spans="2:22">
      <c r="B834" s="39"/>
      <c r="C834" s="39"/>
      <c r="D834" s="39"/>
      <c r="E834" s="39"/>
      <c r="F834" s="40"/>
      <c r="G834" s="38"/>
      <c r="H834" s="43"/>
      <c r="I834" s="43"/>
      <c r="J834" s="39"/>
      <c r="K834" s="38"/>
      <c r="L834" s="39"/>
      <c r="M834" s="39"/>
      <c r="N834" s="43"/>
      <c r="O834" s="38"/>
      <c r="P834" s="38"/>
      <c r="Q834" s="41" t="str">
        <f ca="1">IF(emp_db[[#This Row],[Exit Date]]&lt;&gt;"",(emp_db[[#This Row],[Exit Date]]-emp_db[[#This Row],[Column1]])/365,IF(emp_db[[#This Row],[ID]]&lt;&gt;"",(TODAY()-emp_db[[#This Row],[Column1]])/365,""))</f>
        <v/>
      </c>
      <c r="R834" s="42" t="str">
        <f ca="1">IF(emp_db[[#This Row],[Date of Birth]]&lt;&gt;"",(TODAY()-emp_db[[#This Row],[Date of Birth]])/365,"")</f>
        <v/>
      </c>
      <c r="S834" s="42">
        <f>YEAR(emp_db[[#This Row],[Column1]])</f>
        <v>1900</v>
      </c>
      <c r="T834" s="42">
        <f>MONTH(emp_db[[#This Row],[Column1]])</f>
        <v>1</v>
      </c>
      <c r="U834" s="42">
        <f>IFERROR(YEAR(emp_db[[#This Row],[Exit Date]]),"")</f>
        <v>1900</v>
      </c>
      <c r="V834" s="42">
        <f>IFERROR(MONTH(emp_db[[#This Row],[Exit Date]]),"")</f>
        <v>1</v>
      </c>
    </row>
    <row r="835" spans="2:22">
      <c r="B835" s="39"/>
      <c r="C835" s="39"/>
      <c r="D835" s="39"/>
      <c r="E835" s="39"/>
      <c r="F835" s="40"/>
      <c r="G835" s="38"/>
      <c r="H835" s="43"/>
      <c r="I835" s="43"/>
      <c r="J835" s="39"/>
      <c r="K835" s="38"/>
      <c r="L835" s="39"/>
      <c r="M835" s="39"/>
      <c r="N835" s="43"/>
      <c r="O835" s="38"/>
      <c r="P835" s="38"/>
      <c r="Q835" s="41" t="str">
        <f ca="1">IF(emp_db[[#This Row],[Exit Date]]&lt;&gt;"",(emp_db[[#This Row],[Exit Date]]-emp_db[[#This Row],[Column1]])/365,IF(emp_db[[#This Row],[ID]]&lt;&gt;"",(TODAY()-emp_db[[#This Row],[Column1]])/365,""))</f>
        <v/>
      </c>
      <c r="R835" s="42" t="str">
        <f ca="1">IF(emp_db[[#This Row],[Date of Birth]]&lt;&gt;"",(TODAY()-emp_db[[#This Row],[Date of Birth]])/365,"")</f>
        <v/>
      </c>
      <c r="S835" s="42">
        <f>YEAR(emp_db[[#This Row],[Column1]])</f>
        <v>1900</v>
      </c>
      <c r="T835" s="42">
        <f>MONTH(emp_db[[#This Row],[Column1]])</f>
        <v>1</v>
      </c>
      <c r="U835" s="42">
        <f>IFERROR(YEAR(emp_db[[#This Row],[Exit Date]]),"")</f>
        <v>1900</v>
      </c>
      <c r="V835" s="42">
        <f>IFERROR(MONTH(emp_db[[#This Row],[Exit Date]]),"")</f>
        <v>1</v>
      </c>
    </row>
    <row r="836" spans="2:22">
      <c r="B836" s="39"/>
      <c r="C836" s="39"/>
      <c r="D836" s="39"/>
      <c r="E836" s="39"/>
      <c r="F836" s="40"/>
      <c r="G836" s="38"/>
      <c r="H836" s="43"/>
      <c r="I836" s="43"/>
      <c r="J836" s="39"/>
      <c r="K836" s="38"/>
      <c r="L836" s="39"/>
      <c r="M836" s="39"/>
      <c r="N836" s="43"/>
      <c r="O836" s="38"/>
      <c r="P836" s="38"/>
      <c r="Q836" s="41" t="str">
        <f ca="1">IF(emp_db[[#This Row],[Exit Date]]&lt;&gt;"",(emp_db[[#This Row],[Exit Date]]-emp_db[[#This Row],[Column1]])/365,IF(emp_db[[#This Row],[ID]]&lt;&gt;"",(TODAY()-emp_db[[#This Row],[Column1]])/365,""))</f>
        <v/>
      </c>
      <c r="R836" s="42" t="str">
        <f ca="1">IF(emp_db[[#This Row],[Date of Birth]]&lt;&gt;"",(TODAY()-emp_db[[#This Row],[Date of Birth]])/365,"")</f>
        <v/>
      </c>
      <c r="S836" s="42">
        <f>YEAR(emp_db[[#This Row],[Column1]])</f>
        <v>1900</v>
      </c>
      <c r="T836" s="42">
        <f>MONTH(emp_db[[#This Row],[Column1]])</f>
        <v>1</v>
      </c>
      <c r="U836" s="42">
        <f>IFERROR(YEAR(emp_db[[#This Row],[Exit Date]]),"")</f>
        <v>1900</v>
      </c>
      <c r="V836" s="42">
        <f>IFERROR(MONTH(emp_db[[#This Row],[Exit Date]]),"")</f>
        <v>1</v>
      </c>
    </row>
    <row r="837" spans="2:22">
      <c r="B837" s="39"/>
      <c r="C837" s="39"/>
      <c r="D837" s="39"/>
      <c r="E837" s="39"/>
      <c r="F837" s="40"/>
      <c r="G837" s="38"/>
      <c r="H837" s="43"/>
      <c r="I837" s="43"/>
      <c r="J837" s="39"/>
      <c r="K837" s="38"/>
      <c r="L837" s="39"/>
      <c r="M837" s="39"/>
      <c r="N837" s="43"/>
      <c r="O837" s="38"/>
      <c r="P837" s="38"/>
      <c r="Q837" s="41" t="str">
        <f ca="1">IF(emp_db[[#This Row],[Exit Date]]&lt;&gt;"",(emp_db[[#This Row],[Exit Date]]-emp_db[[#This Row],[Column1]])/365,IF(emp_db[[#This Row],[ID]]&lt;&gt;"",(TODAY()-emp_db[[#This Row],[Column1]])/365,""))</f>
        <v/>
      </c>
      <c r="R837" s="42" t="str">
        <f ca="1">IF(emp_db[[#This Row],[Date of Birth]]&lt;&gt;"",(TODAY()-emp_db[[#This Row],[Date of Birth]])/365,"")</f>
        <v/>
      </c>
      <c r="S837" s="42">
        <f>YEAR(emp_db[[#This Row],[Column1]])</f>
        <v>1900</v>
      </c>
      <c r="T837" s="42">
        <f>MONTH(emp_db[[#This Row],[Column1]])</f>
        <v>1</v>
      </c>
      <c r="U837" s="42">
        <f>IFERROR(YEAR(emp_db[[#This Row],[Exit Date]]),"")</f>
        <v>1900</v>
      </c>
      <c r="V837" s="42">
        <f>IFERROR(MONTH(emp_db[[#This Row],[Exit Date]]),"")</f>
        <v>1</v>
      </c>
    </row>
    <row r="838" spans="2:22">
      <c r="B838" s="39"/>
      <c r="C838" s="39"/>
      <c r="D838" s="39"/>
      <c r="E838" s="39"/>
      <c r="F838" s="40"/>
      <c r="G838" s="38"/>
      <c r="H838" s="43"/>
      <c r="I838" s="43"/>
      <c r="J838" s="39"/>
      <c r="K838" s="38"/>
      <c r="L838" s="39"/>
      <c r="M838" s="39"/>
      <c r="N838" s="43"/>
      <c r="O838" s="38"/>
      <c r="P838" s="38"/>
      <c r="Q838" s="41" t="str">
        <f ca="1">IF(emp_db[[#This Row],[Exit Date]]&lt;&gt;"",(emp_db[[#This Row],[Exit Date]]-emp_db[[#This Row],[Column1]])/365,IF(emp_db[[#This Row],[ID]]&lt;&gt;"",(TODAY()-emp_db[[#This Row],[Column1]])/365,""))</f>
        <v/>
      </c>
      <c r="R838" s="42" t="str">
        <f ca="1">IF(emp_db[[#This Row],[Date of Birth]]&lt;&gt;"",(TODAY()-emp_db[[#This Row],[Date of Birth]])/365,"")</f>
        <v/>
      </c>
      <c r="S838" s="42">
        <f>YEAR(emp_db[[#This Row],[Column1]])</f>
        <v>1900</v>
      </c>
      <c r="T838" s="42">
        <f>MONTH(emp_db[[#This Row],[Column1]])</f>
        <v>1</v>
      </c>
      <c r="U838" s="42">
        <f>IFERROR(YEAR(emp_db[[#This Row],[Exit Date]]),"")</f>
        <v>1900</v>
      </c>
      <c r="V838" s="42">
        <f>IFERROR(MONTH(emp_db[[#This Row],[Exit Date]]),"")</f>
        <v>1</v>
      </c>
    </row>
    <row r="839" spans="2:22">
      <c r="B839" s="39"/>
      <c r="C839" s="39"/>
      <c r="D839" s="39"/>
      <c r="E839" s="39"/>
      <c r="F839" s="40"/>
      <c r="G839" s="38"/>
      <c r="H839" s="43"/>
      <c r="I839" s="43"/>
      <c r="J839" s="39"/>
      <c r="K839" s="38"/>
      <c r="L839" s="39"/>
      <c r="M839" s="39"/>
      <c r="N839" s="43"/>
      <c r="O839" s="38"/>
      <c r="P839" s="38"/>
      <c r="Q839" s="41" t="str">
        <f ca="1">IF(emp_db[[#This Row],[Exit Date]]&lt;&gt;"",(emp_db[[#This Row],[Exit Date]]-emp_db[[#This Row],[Column1]])/365,IF(emp_db[[#This Row],[ID]]&lt;&gt;"",(TODAY()-emp_db[[#This Row],[Column1]])/365,""))</f>
        <v/>
      </c>
      <c r="R839" s="42" t="str">
        <f ca="1">IF(emp_db[[#This Row],[Date of Birth]]&lt;&gt;"",(TODAY()-emp_db[[#This Row],[Date of Birth]])/365,"")</f>
        <v/>
      </c>
      <c r="S839" s="42">
        <f>YEAR(emp_db[[#This Row],[Column1]])</f>
        <v>1900</v>
      </c>
      <c r="T839" s="42">
        <f>MONTH(emp_db[[#This Row],[Column1]])</f>
        <v>1</v>
      </c>
      <c r="U839" s="42">
        <f>IFERROR(YEAR(emp_db[[#This Row],[Exit Date]]),"")</f>
        <v>1900</v>
      </c>
      <c r="V839" s="42">
        <f>IFERROR(MONTH(emp_db[[#This Row],[Exit Date]]),"")</f>
        <v>1</v>
      </c>
    </row>
    <row r="840" spans="2:22">
      <c r="B840" s="39"/>
      <c r="C840" s="39"/>
      <c r="D840" s="39"/>
      <c r="E840" s="39"/>
      <c r="F840" s="40"/>
      <c r="G840" s="38"/>
      <c r="H840" s="43"/>
      <c r="I840" s="43"/>
      <c r="J840" s="39"/>
      <c r="K840" s="38"/>
      <c r="L840" s="39"/>
      <c r="M840" s="39"/>
      <c r="N840" s="43"/>
      <c r="O840" s="38"/>
      <c r="P840" s="38"/>
      <c r="Q840" s="41" t="str">
        <f ca="1">IF(emp_db[[#This Row],[Exit Date]]&lt;&gt;"",(emp_db[[#This Row],[Exit Date]]-emp_db[[#This Row],[Column1]])/365,IF(emp_db[[#This Row],[ID]]&lt;&gt;"",(TODAY()-emp_db[[#This Row],[Column1]])/365,""))</f>
        <v/>
      </c>
      <c r="R840" s="42" t="str">
        <f ca="1">IF(emp_db[[#This Row],[Date of Birth]]&lt;&gt;"",(TODAY()-emp_db[[#This Row],[Date of Birth]])/365,"")</f>
        <v/>
      </c>
      <c r="S840" s="42">
        <f>YEAR(emp_db[[#This Row],[Column1]])</f>
        <v>1900</v>
      </c>
      <c r="T840" s="42">
        <f>MONTH(emp_db[[#This Row],[Column1]])</f>
        <v>1</v>
      </c>
      <c r="U840" s="42">
        <f>IFERROR(YEAR(emp_db[[#This Row],[Exit Date]]),"")</f>
        <v>1900</v>
      </c>
      <c r="V840" s="42">
        <f>IFERROR(MONTH(emp_db[[#This Row],[Exit Date]]),"")</f>
        <v>1</v>
      </c>
    </row>
    <row r="841" spans="2:22">
      <c r="B841" s="39"/>
      <c r="C841" s="39"/>
      <c r="D841" s="39"/>
      <c r="E841" s="39"/>
      <c r="F841" s="40"/>
      <c r="G841" s="38"/>
      <c r="H841" s="43"/>
      <c r="I841" s="43"/>
      <c r="J841" s="39"/>
      <c r="K841" s="38"/>
      <c r="L841" s="39"/>
      <c r="M841" s="39"/>
      <c r="N841" s="43"/>
      <c r="O841" s="38"/>
      <c r="P841" s="38"/>
      <c r="Q841" s="41" t="str">
        <f ca="1">IF(emp_db[[#This Row],[Exit Date]]&lt;&gt;"",(emp_db[[#This Row],[Exit Date]]-emp_db[[#This Row],[Column1]])/365,IF(emp_db[[#This Row],[ID]]&lt;&gt;"",(TODAY()-emp_db[[#This Row],[Column1]])/365,""))</f>
        <v/>
      </c>
      <c r="R841" s="42" t="str">
        <f ca="1">IF(emp_db[[#This Row],[Date of Birth]]&lt;&gt;"",(TODAY()-emp_db[[#This Row],[Date of Birth]])/365,"")</f>
        <v/>
      </c>
      <c r="S841" s="42">
        <f>YEAR(emp_db[[#This Row],[Column1]])</f>
        <v>1900</v>
      </c>
      <c r="T841" s="42">
        <f>MONTH(emp_db[[#This Row],[Column1]])</f>
        <v>1</v>
      </c>
      <c r="U841" s="42">
        <f>IFERROR(YEAR(emp_db[[#This Row],[Exit Date]]),"")</f>
        <v>1900</v>
      </c>
      <c r="V841" s="42">
        <f>IFERROR(MONTH(emp_db[[#This Row],[Exit Date]]),"")</f>
        <v>1</v>
      </c>
    </row>
    <row r="842" spans="2:22">
      <c r="B842" s="39"/>
      <c r="C842" s="39"/>
      <c r="D842" s="39"/>
      <c r="E842" s="39"/>
      <c r="F842" s="40"/>
      <c r="G842" s="38"/>
      <c r="H842" s="43"/>
      <c r="I842" s="43"/>
      <c r="J842" s="39"/>
      <c r="K842" s="38"/>
      <c r="L842" s="39"/>
      <c r="M842" s="39"/>
      <c r="N842" s="43"/>
      <c r="O842" s="38"/>
      <c r="P842" s="38"/>
      <c r="Q842" s="41" t="str">
        <f ca="1">IF(emp_db[[#This Row],[Exit Date]]&lt;&gt;"",(emp_db[[#This Row],[Exit Date]]-emp_db[[#This Row],[Column1]])/365,IF(emp_db[[#This Row],[ID]]&lt;&gt;"",(TODAY()-emp_db[[#This Row],[Column1]])/365,""))</f>
        <v/>
      </c>
      <c r="R842" s="42" t="str">
        <f ca="1">IF(emp_db[[#This Row],[Date of Birth]]&lt;&gt;"",(TODAY()-emp_db[[#This Row],[Date of Birth]])/365,"")</f>
        <v/>
      </c>
      <c r="S842" s="42">
        <f>YEAR(emp_db[[#This Row],[Column1]])</f>
        <v>1900</v>
      </c>
      <c r="T842" s="42">
        <f>MONTH(emp_db[[#This Row],[Column1]])</f>
        <v>1</v>
      </c>
      <c r="U842" s="42">
        <f>IFERROR(YEAR(emp_db[[#This Row],[Exit Date]]),"")</f>
        <v>1900</v>
      </c>
      <c r="V842" s="42">
        <f>IFERROR(MONTH(emp_db[[#This Row],[Exit Date]]),"")</f>
        <v>1</v>
      </c>
    </row>
    <row r="843" spans="2:22">
      <c r="B843" s="39"/>
      <c r="C843" s="39"/>
      <c r="D843" s="39"/>
      <c r="E843" s="39"/>
      <c r="F843" s="40"/>
      <c r="G843" s="38"/>
      <c r="H843" s="43"/>
      <c r="I843" s="43"/>
      <c r="J843" s="39"/>
      <c r="K843" s="38"/>
      <c r="L843" s="39"/>
      <c r="M843" s="39"/>
      <c r="N843" s="43"/>
      <c r="O843" s="38"/>
      <c r="P843" s="38"/>
      <c r="Q843" s="41" t="str">
        <f ca="1">IF(emp_db[[#This Row],[Exit Date]]&lt;&gt;"",(emp_db[[#This Row],[Exit Date]]-emp_db[[#This Row],[Column1]])/365,IF(emp_db[[#This Row],[ID]]&lt;&gt;"",(TODAY()-emp_db[[#This Row],[Column1]])/365,""))</f>
        <v/>
      </c>
      <c r="R843" s="42" t="str">
        <f ca="1">IF(emp_db[[#This Row],[Date of Birth]]&lt;&gt;"",(TODAY()-emp_db[[#This Row],[Date of Birth]])/365,"")</f>
        <v/>
      </c>
      <c r="S843" s="42">
        <f>YEAR(emp_db[[#This Row],[Column1]])</f>
        <v>1900</v>
      </c>
      <c r="T843" s="42">
        <f>MONTH(emp_db[[#This Row],[Column1]])</f>
        <v>1</v>
      </c>
      <c r="U843" s="42">
        <f>IFERROR(YEAR(emp_db[[#This Row],[Exit Date]]),"")</f>
        <v>1900</v>
      </c>
      <c r="V843" s="42">
        <f>IFERROR(MONTH(emp_db[[#This Row],[Exit Date]]),"")</f>
        <v>1</v>
      </c>
    </row>
    <row r="844" spans="2:22">
      <c r="B844" s="39"/>
      <c r="C844" s="39"/>
      <c r="D844" s="39"/>
      <c r="E844" s="39"/>
      <c r="F844" s="40"/>
      <c r="G844" s="38"/>
      <c r="H844" s="43"/>
      <c r="I844" s="43"/>
      <c r="J844" s="39"/>
      <c r="K844" s="38"/>
      <c r="L844" s="39"/>
      <c r="M844" s="39"/>
      <c r="N844" s="43"/>
      <c r="O844" s="38"/>
      <c r="P844" s="38"/>
      <c r="Q844" s="41" t="str">
        <f ca="1">IF(emp_db[[#This Row],[Exit Date]]&lt;&gt;"",(emp_db[[#This Row],[Exit Date]]-emp_db[[#This Row],[Column1]])/365,IF(emp_db[[#This Row],[ID]]&lt;&gt;"",(TODAY()-emp_db[[#This Row],[Column1]])/365,""))</f>
        <v/>
      </c>
      <c r="R844" s="42" t="str">
        <f ca="1">IF(emp_db[[#This Row],[Date of Birth]]&lt;&gt;"",(TODAY()-emp_db[[#This Row],[Date of Birth]])/365,"")</f>
        <v/>
      </c>
      <c r="S844" s="42">
        <f>YEAR(emp_db[[#This Row],[Column1]])</f>
        <v>1900</v>
      </c>
      <c r="T844" s="42">
        <f>MONTH(emp_db[[#This Row],[Column1]])</f>
        <v>1</v>
      </c>
      <c r="U844" s="42">
        <f>IFERROR(YEAR(emp_db[[#This Row],[Exit Date]]),"")</f>
        <v>1900</v>
      </c>
      <c r="V844" s="42">
        <f>IFERROR(MONTH(emp_db[[#This Row],[Exit Date]]),"")</f>
        <v>1</v>
      </c>
    </row>
    <row r="845" spans="2:22">
      <c r="B845" s="39"/>
      <c r="C845" s="39"/>
      <c r="D845" s="39"/>
      <c r="E845" s="39"/>
      <c r="F845" s="40"/>
      <c r="G845" s="38"/>
      <c r="H845" s="43"/>
      <c r="I845" s="43"/>
      <c r="J845" s="39"/>
      <c r="K845" s="38"/>
      <c r="L845" s="39"/>
      <c r="M845" s="39"/>
      <c r="N845" s="43"/>
      <c r="O845" s="38"/>
      <c r="P845" s="38"/>
      <c r="Q845" s="41" t="str">
        <f ca="1">IF(emp_db[[#This Row],[Exit Date]]&lt;&gt;"",(emp_db[[#This Row],[Exit Date]]-emp_db[[#This Row],[Column1]])/365,IF(emp_db[[#This Row],[ID]]&lt;&gt;"",(TODAY()-emp_db[[#This Row],[Column1]])/365,""))</f>
        <v/>
      </c>
      <c r="R845" s="42" t="str">
        <f ca="1">IF(emp_db[[#This Row],[Date of Birth]]&lt;&gt;"",(TODAY()-emp_db[[#This Row],[Date of Birth]])/365,"")</f>
        <v/>
      </c>
      <c r="S845" s="42">
        <f>YEAR(emp_db[[#This Row],[Column1]])</f>
        <v>1900</v>
      </c>
      <c r="T845" s="42">
        <f>MONTH(emp_db[[#This Row],[Column1]])</f>
        <v>1</v>
      </c>
      <c r="U845" s="42">
        <f>IFERROR(YEAR(emp_db[[#This Row],[Exit Date]]),"")</f>
        <v>1900</v>
      </c>
      <c r="V845" s="42">
        <f>IFERROR(MONTH(emp_db[[#This Row],[Exit Date]]),"")</f>
        <v>1</v>
      </c>
    </row>
    <row r="846" spans="2:22">
      <c r="B846" s="39"/>
      <c r="C846" s="39"/>
      <c r="D846" s="39"/>
      <c r="E846" s="39"/>
      <c r="F846" s="40"/>
      <c r="G846" s="38"/>
      <c r="H846" s="43"/>
      <c r="I846" s="43"/>
      <c r="J846" s="39"/>
      <c r="K846" s="38"/>
      <c r="L846" s="39"/>
      <c r="M846" s="39"/>
      <c r="N846" s="43"/>
      <c r="O846" s="38"/>
      <c r="P846" s="38"/>
      <c r="Q846" s="41" t="str">
        <f ca="1">IF(emp_db[[#This Row],[Exit Date]]&lt;&gt;"",(emp_db[[#This Row],[Exit Date]]-emp_db[[#This Row],[Column1]])/365,IF(emp_db[[#This Row],[ID]]&lt;&gt;"",(TODAY()-emp_db[[#This Row],[Column1]])/365,""))</f>
        <v/>
      </c>
      <c r="R846" s="42" t="str">
        <f ca="1">IF(emp_db[[#This Row],[Date of Birth]]&lt;&gt;"",(TODAY()-emp_db[[#This Row],[Date of Birth]])/365,"")</f>
        <v/>
      </c>
      <c r="S846" s="42">
        <f>YEAR(emp_db[[#This Row],[Column1]])</f>
        <v>1900</v>
      </c>
      <c r="T846" s="42">
        <f>MONTH(emp_db[[#This Row],[Column1]])</f>
        <v>1</v>
      </c>
      <c r="U846" s="42">
        <f>IFERROR(YEAR(emp_db[[#This Row],[Exit Date]]),"")</f>
        <v>1900</v>
      </c>
      <c r="V846" s="42">
        <f>IFERROR(MONTH(emp_db[[#This Row],[Exit Date]]),"")</f>
        <v>1</v>
      </c>
    </row>
    <row r="847" spans="2:22">
      <c r="B847" s="39"/>
      <c r="C847" s="39"/>
      <c r="D847" s="39"/>
      <c r="E847" s="39"/>
      <c r="F847" s="40"/>
      <c r="G847" s="38"/>
      <c r="H847" s="43"/>
      <c r="I847" s="43"/>
      <c r="J847" s="39"/>
      <c r="K847" s="38"/>
      <c r="L847" s="39"/>
      <c r="M847" s="39"/>
      <c r="N847" s="43"/>
      <c r="O847" s="38"/>
      <c r="P847" s="38"/>
      <c r="Q847" s="41" t="str">
        <f ca="1">IF(emp_db[[#This Row],[Exit Date]]&lt;&gt;"",(emp_db[[#This Row],[Exit Date]]-emp_db[[#This Row],[Column1]])/365,IF(emp_db[[#This Row],[ID]]&lt;&gt;"",(TODAY()-emp_db[[#This Row],[Column1]])/365,""))</f>
        <v/>
      </c>
      <c r="R847" s="42" t="str">
        <f ca="1">IF(emp_db[[#This Row],[Date of Birth]]&lt;&gt;"",(TODAY()-emp_db[[#This Row],[Date of Birth]])/365,"")</f>
        <v/>
      </c>
      <c r="S847" s="42">
        <f>YEAR(emp_db[[#This Row],[Column1]])</f>
        <v>1900</v>
      </c>
      <c r="T847" s="42">
        <f>MONTH(emp_db[[#This Row],[Column1]])</f>
        <v>1</v>
      </c>
      <c r="U847" s="42">
        <f>IFERROR(YEAR(emp_db[[#This Row],[Exit Date]]),"")</f>
        <v>1900</v>
      </c>
      <c r="V847" s="42">
        <f>IFERROR(MONTH(emp_db[[#This Row],[Exit Date]]),"")</f>
        <v>1</v>
      </c>
    </row>
    <row r="848" spans="2:22">
      <c r="B848" s="39"/>
      <c r="C848" s="39"/>
      <c r="D848" s="39"/>
      <c r="E848" s="39"/>
      <c r="F848" s="40"/>
      <c r="G848" s="38"/>
      <c r="H848" s="43"/>
      <c r="I848" s="43"/>
      <c r="J848" s="39"/>
      <c r="K848" s="38"/>
      <c r="L848" s="39"/>
      <c r="M848" s="39"/>
      <c r="N848" s="43"/>
      <c r="O848" s="38"/>
      <c r="P848" s="38"/>
      <c r="Q848" s="41" t="str">
        <f ca="1">IF(emp_db[[#This Row],[Exit Date]]&lt;&gt;"",(emp_db[[#This Row],[Exit Date]]-emp_db[[#This Row],[Column1]])/365,IF(emp_db[[#This Row],[ID]]&lt;&gt;"",(TODAY()-emp_db[[#This Row],[Column1]])/365,""))</f>
        <v/>
      </c>
      <c r="R848" s="42" t="str">
        <f ca="1">IF(emp_db[[#This Row],[Date of Birth]]&lt;&gt;"",(TODAY()-emp_db[[#This Row],[Date of Birth]])/365,"")</f>
        <v/>
      </c>
      <c r="S848" s="42">
        <f>YEAR(emp_db[[#This Row],[Column1]])</f>
        <v>1900</v>
      </c>
      <c r="T848" s="42">
        <f>MONTH(emp_db[[#This Row],[Column1]])</f>
        <v>1</v>
      </c>
      <c r="U848" s="42">
        <f>IFERROR(YEAR(emp_db[[#This Row],[Exit Date]]),"")</f>
        <v>1900</v>
      </c>
      <c r="V848" s="42">
        <f>IFERROR(MONTH(emp_db[[#This Row],[Exit Date]]),"")</f>
        <v>1</v>
      </c>
    </row>
    <row r="849" spans="2:22">
      <c r="B849" s="39"/>
      <c r="C849" s="39"/>
      <c r="D849" s="39"/>
      <c r="E849" s="39"/>
      <c r="F849" s="40"/>
      <c r="G849" s="38"/>
      <c r="H849" s="43"/>
      <c r="I849" s="43"/>
      <c r="J849" s="39"/>
      <c r="K849" s="38"/>
      <c r="L849" s="39"/>
      <c r="M849" s="39"/>
      <c r="N849" s="43"/>
      <c r="O849" s="38"/>
      <c r="P849" s="38"/>
      <c r="Q849" s="41" t="str">
        <f ca="1">IF(emp_db[[#This Row],[Exit Date]]&lt;&gt;"",(emp_db[[#This Row],[Exit Date]]-emp_db[[#This Row],[Column1]])/365,IF(emp_db[[#This Row],[ID]]&lt;&gt;"",(TODAY()-emp_db[[#This Row],[Column1]])/365,""))</f>
        <v/>
      </c>
      <c r="R849" s="42" t="str">
        <f ca="1">IF(emp_db[[#This Row],[Date of Birth]]&lt;&gt;"",(TODAY()-emp_db[[#This Row],[Date of Birth]])/365,"")</f>
        <v/>
      </c>
      <c r="S849" s="42">
        <f>YEAR(emp_db[[#This Row],[Column1]])</f>
        <v>1900</v>
      </c>
      <c r="T849" s="42">
        <f>MONTH(emp_db[[#This Row],[Column1]])</f>
        <v>1</v>
      </c>
      <c r="U849" s="42">
        <f>IFERROR(YEAR(emp_db[[#This Row],[Exit Date]]),"")</f>
        <v>1900</v>
      </c>
      <c r="V849" s="42">
        <f>IFERROR(MONTH(emp_db[[#This Row],[Exit Date]]),"")</f>
        <v>1</v>
      </c>
    </row>
    <row r="850" spans="2:22">
      <c r="B850" s="39"/>
      <c r="C850" s="39"/>
      <c r="D850" s="39"/>
      <c r="E850" s="39"/>
      <c r="F850" s="40"/>
      <c r="G850" s="38"/>
      <c r="H850" s="43"/>
      <c r="I850" s="43"/>
      <c r="J850" s="39"/>
      <c r="K850" s="38"/>
      <c r="L850" s="39"/>
      <c r="M850" s="39"/>
      <c r="N850" s="43"/>
      <c r="O850" s="38"/>
      <c r="P850" s="38"/>
      <c r="Q850" s="41" t="str">
        <f ca="1">IF(emp_db[[#This Row],[Exit Date]]&lt;&gt;"",(emp_db[[#This Row],[Exit Date]]-emp_db[[#This Row],[Column1]])/365,IF(emp_db[[#This Row],[ID]]&lt;&gt;"",(TODAY()-emp_db[[#This Row],[Column1]])/365,""))</f>
        <v/>
      </c>
      <c r="R850" s="42" t="str">
        <f ca="1">IF(emp_db[[#This Row],[Date of Birth]]&lt;&gt;"",(TODAY()-emp_db[[#This Row],[Date of Birth]])/365,"")</f>
        <v/>
      </c>
      <c r="S850" s="42">
        <f>YEAR(emp_db[[#This Row],[Column1]])</f>
        <v>1900</v>
      </c>
      <c r="T850" s="42">
        <f>MONTH(emp_db[[#This Row],[Column1]])</f>
        <v>1</v>
      </c>
      <c r="U850" s="42">
        <f>IFERROR(YEAR(emp_db[[#This Row],[Exit Date]]),"")</f>
        <v>1900</v>
      </c>
      <c r="V850" s="42">
        <f>IFERROR(MONTH(emp_db[[#This Row],[Exit Date]]),"")</f>
        <v>1</v>
      </c>
    </row>
    <row r="851" spans="2:22">
      <c r="B851" s="39"/>
      <c r="C851" s="39"/>
      <c r="D851" s="39"/>
      <c r="E851" s="39"/>
      <c r="F851" s="40"/>
      <c r="G851" s="38"/>
      <c r="H851" s="43"/>
      <c r="I851" s="43"/>
      <c r="J851" s="39"/>
      <c r="K851" s="38"/>
      <c r="L851" s="39"/>
      <c r="M851" s="39"/>
      <c r="N851" s="43"/>
      <c r="O851" s="38"/>
      <c r="P851" s="38"/>
      <c r="Q851" s="41" t="str">
        <f ca="1">IF(emp_db[[#This Row],[Exit Date]]&lt;&gt;"",(emp_db[[#This Row],[Exit Date]]-emp_db[[#This Row],[Column1]])/365,IF(emp_db[[#This Row],[ID]]&lt;&gt;"",(TODAY()-emp_db[[#This Row],[Column1]])/365,""))</f>
        <v/>
      </c>
      <c r="R851" s="42" t="str">
        <f ca="1">IF(emp_db[[#This Row],[Date of Birth]]&lt;&gt;"",(TODAY()-emp_db[[#This Row],[Date of Birth]])/365,"")</f>
        <v/>
      </c>
      <c r="S851" s="42">
        <f>YEAR(emp_db[[#This Row],[Column1]])</f>
        <v>1900</v>
      </c>
      <c r="T851" s="42">
        <f>MONTH(emp_db[[#This Row],[Column1]])</f>
        <v>1</v>
      </c>
      <c r="U851" s="42">
        <f>IFERROR(YEAR(emp_db[[#This Row],[Exit Date]]),"")</f>
        <v>1900</v>
      </c>
      <c r="V851" s="42">
        <f>IFERROR(MONTH(emp_db[[#This Row],[Exit Date]]),"")</f>
        <v>1</v>
      </c>
    </row>
    <row r="852" spans="2:22">
      <c r="B852" s="39"/>
      <c r="C852" s="39"/>
      <c r="D852" s="39"/>
      <c r="E852" s="39"/>
      <c r="F852" s="40"/>
      <c r="G852" s="38"/>
      <c r="H852" s="43"/>
      <c r="I852" s="43"/>
      <c r="J852" s="39"/>
      <c r="K852" s="38"/>
      <c r="L852" s="39"/>
      <c r="M852" s="39"/>
      <c r="N852" s="43"/>
      <c r="O852" s="38"/>
      <c r="P852" s="38"/>
      <c r="Q852" s="41" t="str">
        <f ca="1">IF(emp_db[[#This Row],[Exit Date]]&lt;&gt;"",(emp_db[[#This Row],[Exit Date]]-emp_db[[#This Row],[Column1]])/365,IF(emp_db[[#This Row],[ID]]&lt;&gt;"",(TODAY()-emp_db[[#This Row],[Column1]])/365,""))</f>
        <v/>
      </c>
      <c r="R852" s="42" t="str">
        <f ca="1">IF(emp_db[[#This Row],[Date of Birth]]&lt;&gt;"",(TODAY()-emp_db[[#This Row],[Date of Birth]])/365,"")</f>
        <v/>
      </c>
      <c r="S852" s="42">
        <f>YEAR(emp_db[[#This Row],[Column1]])</f>
        <v>1900</v>
      </c>
      <c r="T852" s="42">
        <f>MONTH(emp_db[[#This Row],[Column1]])</f>
        <v>1</v>
      </c>
      <c r="U852" s="42">
        <f>IFERROR(YEAR(emp_db[[#This Row],[Exit Date]]),"")</f>
        <v>1900</v>
      </c>
      <c r="V852" s="42">
        <f>IFERROR(MONTH(emp_db[[#This Row],[Exit Date]]),"")</f>
        <v>1</v>
      </c>
    </row>
    <row r="853" spans="2:22">
      <c r="B853" s="39"/>
      <c r="C853" s="39"/>
      <c r="D853" s="39"/>
      <c r="E853" s="39"/>
      <c r="F853" s="40"/>
      <c r="G853" s="38"/>
      <c r="H853" s="43"/>
      <c r="I853" s="43"/>
      <c r="J853" s="39"/>
      <c r="K853" s="38"/>
      <c r="L853" s="39"/>
      <c r="M853" s="39"/>
      <c r="N853" s="43"/>
      <c r="O853" s="38"/>
      <c r="P853" s="38"/>
      <c r="Q853" s="41" t="str">
        <f ca="1">IF(emp_db[[#This Row],[Exit Date]]&lt;&gt;"",(emp_db[[#This Row],[Exit Date]]-emp_db[[#This Row],[Column1]])/365,IF(emp_db[[#This Row],[ID]]&lt;&gt;"",(TODAY()-emp_db[[#This Row],[Column1]])/365,""))</f>
        <v/>
      </c>
      <c r="R853" s="42" t="str">
        <f ca="1">IF(emp_db[[#This Row],[Date of Birth]]&lt;&gt;"",(TODAY()-emp_db[[#This Row],[Date of Birth]])/365,"")</f>
        <v/>
      </c>
      <c r="S853" s="42">
        <f>YEAR(emp_db[[#This Row],[Column1]])</f>
        <v>1900</v>
      </c>
      <c r="T853" s="42">
        <f>MONTH(emp_db[[#This Row],[Column1]])</f>
        <v>1</v>
      </c>
      <c r="U853" s="42">
        <f>IFERROR(YEAR(emp_db[[#This Row],[Exit Date]]),"")</f>
        <v>1900</v>
      </c>
      <c r="V853" s="42">
        <f>IFERROR(MONTH(emp_db[[#This Row],[Exit Date]]),"")</f>
        <v>1</v>
      </c>
    </row>
    <row r="854" spans="2:22">
      <c r="B854" s="39"/>
      <c r="C854" s="39"/>
      <c r="D854" s="39"/>
      <c r="E854" s="39"/>
      <c r="F854" s="40"/>
      <c r="G854" s="38"/>
      <c r="H854" s="43"/>
      <c r="I854" s="43"/>
      <c r="J854" s="39"/>
      <c r="K854" s="38"/>
      <c r="L854" s="39"/>
      <c r="M854" s="39"/>
      <c r="N854" s="43"/>
      <c r="O854" s="38"/>
      <c r="P854" s="38"/>
      <c r="Q854" s="41" t="str">
        <f ca="1">IF(emp_db[[#This Row],[Exit Date]]&lt;&gt;"",(emp_db[[#This Row],[Exit Date]]-emp_db[[#This Row],[Column1]])/365,IF(emp_db[[#This Row],[ID]]&lt;&gt;"",(TODAY()-emp_db[[#This Row],[Column1]])/365,""))</f>
        <v/>
      </c>
      <c r="R854" s="42" t="str">
        <f ca="1">IF(emp_db[[#This Row],[Date of Birth]]&lt;&gt;"",(TODAY()-emp_db[[#This Row],[Date of Birth]])/365,"")</f>
        <v/>
      </c>
      <c r="S854" s="42">
        <f>YEAR(emp_db[[#This Row],[Column1]])</f>
        <v>1900</v>
      </c>
      <c r="T854" s="42">
        <f>MONTH(emp_db[[#This Row],[Column1]])</f>
        <v>1</v>
      </c>
      <c r="U854" s="42">
        <f>IFERROR(YEAR(emp_db[[#This Row],[Exit Date]]),"")</f>
        <v>1900</v>
      </c>
      <c r="V854" s="42">
        <f>IFERROR(MONTH(emp_db[[#This Row],[Exit Date]]),"")</f>
        <v>1</v>
      </c>
    </row>
    <row r="855" spans="2:22">
      <c r="B855" s="39"/>
      <c r="C855" s="39"/>
      <c r="D855" s="39"/>
      <c r="E855" s="39"/>
      <c r="F855" s="40"/>
      <c r="G855" s="38"/>
      <c r="H855" s="43"/>
      <c r="I855" s="43"/>
      <c r="J855" s="39"/>
      <c r="K855" s="38"/>
      <c r="L855" s="39"/>
      <c r="M855" s="39"/>
      <c r="N855" s="43"/>
      <c r="O855" s="38"/>
      <c r="P855" s="38"/>
      <c r="Q855" s="41" t="str">
        <f ca="1">IF(emp_db[[#This Row],[Exit Date]]&lt;&gt;"",(emp_db[[#This Row],[Exit Date]]-emp_db[[#This Row],[Column1]])/365,IF(emp_db[[#This Row],[ID]]&lt;&gt;"",(TODAY()-emp_db[[#This Row],[Column1]])/365,""))</f>
        <v/>
      </c>
      <c r="R855" s="42" t="str">
        <f ca="1">IF(emp_db[[#This Row],[Date of Birth]]&lt;&gt;"",(TODAY()-emp_db[[#This Row],[Date of Birth]])/365,"")</f>
        <v/>
      </c>
      <c r="S855" s="42">
        <f>YEAR(emp_db[[#This Row],[Column1]])</f>
        <v>1900</v>
      </c>
      <c r="T855" s="42">
        <f>MONTH(emp_db[[#This Row],[Column1]])</f>
        <v>1</v>
      </c>
      <c r="U855" s="42">
        <f>IFERROR(YEAR(emp_db[[#This Row],[Exit Date]]),"")</f>
        <v>1900</v>
      </c>
      <c r="V855" s="42">
        <f>IFERROR(MONTH(emp_db[[#This Row],[Exit Date]]),"")</f>
        <v>1</v>
      </c>
    </row>
    <row r="856" spans="2:22">
      <c r="B856" s="39"/>
      <c r="C856" s="39"/>
      <c r="D856" s="39"/>
      <c r="E856" s="39"/>
      <c r="F856" s="40"/>
      <c r="G856" s="38"/>
      <c r="H856" s="43"/>
      <c r="I856" s="43"/>
      <c r="J856" s="39"/>
      <c r="K856" s="38"/>
      <c r="L856" s="39"/>
      <c r="M856" s="39"/>
      <c r="N856" s="43"/>
      <c r="O856" s="38"/>
      <c r="P856" s="38"/>
      <c r="Q856" s="41" t="str">
        <f ca="1">IF(emp_db[[#This Row],[Exit Date]]&lt;&gt;"",(emp_db[[#This Row],[Exit Date]]-emp_db[[#This Row],[Column1]])/365,IF(emp_db[[#This Row],[ID]]&lt;&gt;"",(TODAY()-emp_db[[#This Row],[Column1]])/365,""))</f>
        <v/>
      </c>
      <c r="R856" s="42" t="str">
        <f ca="1">IF(emp_db[[#This Row],[Date of Birth]]&lt;&gt;"",(TODAY()-emp_db[[#This Row],[Date of Birth]])/365,"")</f>
        <v/>
      </c>
      <c r="S856" s="42">
        <f>YEAR(emp_db[[#This Row],[Column1]])</f>
        <v>1900</v>
      </c>
      <c r="T856" s="42">
        <f>MONTH(emp_db[[#This Row],[Column1]])</f>
        <v>1</v>
      </c>
      <c r="U856" s="42">
        <f>IFERROR(YEAR(emp_db[[#This Row],[Exit Date]]),"")</f>
        <v>1900</v>
      </c>
      <c r="V856" s="42">
        <f>IFERROR(MONTH(emp_db[[#This Row],[Exit Date]]),"")</f>
        <v>1</v>
      </c>
    </row>
    <row r="857" spans="2:22">
      <c r="B857" s="39"/>
      <c r="C857" s="39"/>
      <c r="D857" s="39"/>
      <c r="E857" s="39"/>
      <c r="F857" s="40"/>
      <c r="G857" s="38"/>
      <c r="H857" s="43"/>
      <c r="I857" s="43"/>
      <c r="J857" s="39"/>
      <c r="K857" s="38"/>
      <c r="L857" s="39"/>
      <c r="M857" s="39"/>
      <c r="N857" s="43"/>
      <c r="O857" s="38"/>
      <c r="P857" s="38"/>
      <c r="Q857" s="41" t="str">
        <f ca="1">IF(emp_db[[#This Row],[Exit Date]]&lt;&gt;"",(emp_db[[#This Row],[Exit Date]]-emp_db[[#This Row],[Column1]])/365,IF(emp_db[[#This Row],[ID]]&lt;&gt;"",(TODAY()-emp_db[[#This Row],[Column1]])/365,""))</f>
        <v/>
      </c>
      <c r="R857" s="42" t="str">
        <f ca="1">IF(emp_db[[#This Row],[Date of Birth]]&lt;&gt;"",(TODAY()-emp_db[[#This Row],[Date of Birth]])/365,"")</f>
        <v/>
      </c>
      <c r="S857" s="42">
        <f>YEAR(emp_db[[#This Row],[Column1]])</f>
        <v>1900</v>
      </c>
      <c r="T857" s="42">
        <f>MONTH(emp_db[[#This Row],[Column1]])</f>
        <v>1</v>
      </c>
      <c r="U857" s="42">
        <f>IFERROR(YEAR(emp_db[[#This Row],[Exit Date]]),"")</f>
        <v>1900</v>
      </c>
      <c r="V857" s="42">
        <f>IFERROR(MONTH(emp_db[[#This Row],[Exit Date]]),"")</f>
        <v>1</v>
      </c>
    </row>
    <row r="858" spans="2:22">
      <c r="B858" s="39"/>
      <c r="C858" s="39"/>
      <c r="D858" s="39"/>
      <c r="E858" s="39"/>
      <c r="F858" s="40"/>
      <c r="G858" s="38"/>
      <c r="H858" s="43"/>
      <c r="I858" s="43"/>
      <c r="J858" s="39"/>
      <c r="K858" s="38"/>
      <c r="L858" s="39"/>
      <c r="M858" s="39"/>
      <c r="N858" s="43"/>
      <c r="O858" s="38"/>
      <c r="P858" s="38"/>
      <c r="Q858" s="41" t="str">
        <f ca="1">IF(emp_db[[#This Row],[Exit Date]]&lt;&gt;"",(emp_db[[#This Row],[Exit Date]]-emp_db[[#This Row],[Column1]])/365,IF(emp_db[[#This Row],[ID]]&lt;&gt;"",(TODAY()-emp_db[[#This Row],[Column1]])/365,""))</f>
        <v/>
      </c>
      <c r="R858" s="42" t="str">
        <f ca="1">IF(emp_db[[#This Row],[Date of Birth]]&lt;&gt;"",(TODAY()-emp_db[[#This Row],[Date of Birth]])/365,"")</f>
        <v/>
      </c>
      <c r="S858" s="42">
        <f>YEAR(emp_db[[#This Row],[Column1]])</f>
        <v>1900</v>
      </c>
      <c r="T858" s="42">
        <f>MONTH(emp_db[[#This Row],[Column1]])</f>
        <v>1</v>
      </c>
      <c r="U858" s="42">
        <f>IFERROR(YEAR(emp_db[[#This Row],[Exit Date]]),"")</f>
        <v>1900</v>
      </c>
      <c r="V858" s="42">
        <f>IFERROR(MONTH(emp_db[[#This Row],[Exit Date]]),"")</f>
        <v>1</v>
      </c>
    </row>
    <row r="859" spans="2:22">
      <c r="B859" s="39"/>
      <c r="C859" s="39"/>
      <c r="D859" s="39"/>
      <c r="E859" s="39"/>
      <c r="F859" s="40"/>
      <c r="G859" s="38"/>
      <c r="H859" s="43"/>
      <c r="I859" s="43"/>
      <c r="J859" s="39"/>
      <c r="K859" s="38"/>
      <c r="L859" s="39"/>
      <c r="M859" s="39"/>
      <c r="N859" s="43"/>
      <c r="O859" s="38"/>
      <c r="P859" s="38"/>
      <c r="Q859" s="41" t="str">
        <f ca="1">IF(emp_db[[#This Row],[Exit Date]]&lt;&gt;"",(emp_db[[#This Row],[Exit Date]]-emp_db[[#This Row],[Column1]])/365,IF(emp_db[[#This Row],[ID]]&lt;&gt;"",(TODAY()-emp_db[[#This Row],[Column1]])/365,""))</f>
        <v/>
      </c>
      <c r="R859" s="42" t="str">
        <f ca="1">IF(emp_db[[#This Row],[Date of Birth]]&lt;&gt;"",(TODAY()-emp_db[[#This Row],[Date of Birth]])/365,"")</f>
        <v/>
      </c>
      <c r="S859" s="42">
        <f>YEAR(emp_db[[#This Row],[Column1]])</f>
        <v>1900</v>
      </c>
      <c r="T859" s="42">
        <f>MONTH(emp_db[[#This Row],[Column1]])</f>
        <v>1</v>
      </c>
      <c r="U859" s="42">
        <f>IFERROR(YEAR(emp_db[[#This Row],[Exit Date]]),"")</f>
        <v>1900</v>
      </c>
      <c r="V859" s="42">
        <f>IFERROR(MONTH(emp_db[[#This Row],[Exit Date]]),"")</f>
        <v>1</v>
      </c>
    </row>
    <row r="860" spans="2:22">
      <c r="B860" s="39"/>
      <c r="C860" s="39"/>
      <c r="D860" s="39"/>
      <c r="E860" s="39"/>
      <c r="F860" s="40"/>
      <c r="G860" s="38"/>
      <c r="H860" s="43"/>
      <c r="I860" s="43"/>
      <c r="J860" s="39"/>
      <c r="K860" s="38"/>
      <c r="L860" s="39"/>
      <c r="M860" s="39"/>
      <c r="N860" s="43"/>
      <c r="O860" s="38"/>
      <c r="P860" s="38"/>
      <c r="Q860" s="41" t="str">
        <f ca="1">IF(emp_db[[#This Row],[Exit Date]]&lt;&gt;"",(emp_db[[#This Row],[Exit Date]]-emp_db[[#This Row],[Column1]])/365,IF(emp_db[[#This Row],[ID]]&lt;&gt;"",(TODAY()-emp_db[[#This Row],[Column1]])/365,""))</f>
        <v/>
      </c>
      <c r="R860" s="42" t="str">
        <f ca="1">IF(emp_db[[#This Row],[Date of Birth]]&lt;&gt;"",(TODAY()-emp_db[[#This Row],[Date of Birth]])/365,"")</f>
        <v/>
      </c>
      <c r="S860" s="42">
        <f>YEAR(emp_db[[#This Row],[Column1]])</f>
        <v>1900</v>
      </c>
      <c r="T860" s="42">
        <f>MONTH(emp_db[[#This Row],[Column1]])</f>
        <v>1</v>
      </c>
      <c r="U860" s="42">
        <f>IFERROR(YEAR(emp_db[[#This Row],[Exit Date]]),"")</f>
        <v>1900</v>
      </c>
      <c r="V860" s="42">
        <f>IFERROR(MONTH(emp_db[[#This Row],[Exit Date]]),"")</f>
        <v>1</v>
      </c>
    </row>
    <row r="861" spans="2:22">
      <c r="B861" s="39"/>
      <c r="C861" s="39"/>
      <c r="D861" s="39"/>
      <c r="E861" s="39"/>
      <c r="F861" s="40"/>
      <c r="G861" s="38"/>
      <c r="H861" s="43"/>
      <c r="I861" s="43"/>
      <c r="J861" s="39"/>
      <c r="K861" s="38"/>
      <c r="L861" s="39"/>
      <c r="M861" s="39"/>
      <c r="N861" s="43"/>
      <c r="O861" s="38"/>
      <c r="P861" s="38"/>
      <c r="Q861" s="41" t="str">
        <f ca="1">IF(emp_db[[#This Row],[Exit Date]]&lt;&gt;"",(emp_db[[#This Row],[Exit Date]]-emp_db[[#This Row],[Column1]])/365,IF(emp_db[[#This Row],[ID]]&lt;&gt;"",(TODAY()-emp_db[[#This Row],[Column1]])/365,""))</f>
        <v/>
      </c>
      <c r="R861" s="42" t="str">
        <f ca="1">IF(emp_db[[#This Row],[Date of Birth]]&lt;&gt;"",(TODAY()-emp_db[[#This Row],[Date of Birth]])/365,"")</f>
        <v/>
      </c>
      <c r="S861" s="42">
        <f>YEAR(emp_db[[#This Row],[Column1]])</f>
        <v>1900</v>
      </c>
      <c r="T861" s="42">
        <f>MONTH(emp_db[[#This Row],[Column1]])</f>
        <v>1</v>
      </c>
      <c r="U861" s="42">
        <f>IFERROR(YEAR(emp_db[[#This Row],[Exit Date]]),"")</f>
        <v>1900</v>
      </c>
      <c r="V861" s="42">
        <f>IFERROR(MONTH(emp_db[[#This Row],[Exit Date]]),"")</f>
        <v>1</v>
      </c>
    </row>
    <row r="862" spans="2:22">
      <c r="B862" s="39"/>
      <c r="C862" s="39"/>
      <c r="D862" s="39"/>
      <c r="E862" s="39"/>
      <c r="F862" s="40"/>
      <c r="G862" s="38"/>
      <c r="H862" s="43"/>
      <c r="I862" s="43"/>
      <c r="J862" s="39"/>
      <c r="K862" s="38"/>
      <c r="L862" s="39"/>
      <c r="M862" s="39"/>
      <c r="N862" s="43"/>
      <c r="O862" s="38"/>
      <c r="P862" s="38"/>
      <c r="Q862" s="41" t="str">
        <f ca="1">IF(emp_db[[#This Row],[Exit Date]]&lt;&gt;"",(emp_db[[#This Row],[Exit Date]]-emp_db[[#This Row],[Column1]])/365,IF(emp_db[[#This Row],[ID]]&lt;&gt;"",(TODAY()-emp_db[[#This Row],[Column1]])/365,""))</f>
        <v/>
      </c>
      <c r="R862" s="42" t="str">
        <f ca="1">IF(emp_db[[#This Row],[Date of Birth]]&lt;&gt;"",(TODAY()-emp_db[[#This Row],[Date of Birth]])/365,"")</f>
        <v/>
      </c>
      <c r="S862" s="42">
        <f>YEAR(emp_db[[#This Row],[Column1]])</f>
        <v>1900</v>
      </c>
      <c r="T862" s="42">
        <f>MONTH(emp_db[[#This Row],[Column1]])</f>
        <v>1</v>
      </c>
      <c r="U862" s="42">
        <f>IFERROR(YEAR(emp_db[[#This Row],[Exit Date]]),"")</f>
        <v>1900</v>
      </c>
      <c r="V862" s="42">
        <f>IFERROR(MONTH(emp_db[[#This Row],[Exit Date]]),"")</f>
        <v>1</v>
      </c>
    </row>
    <row r="863" spans="2:22">
      <c r="B863" s="39"/>
      <c r="C863" s="39"/>
      <c r="D863" s="39"/>
      <c r="E863" s="39"/>
      <c r="F863" s="40"/>
      <c r="G863" s="38"/>
      <c r="H863" s="43"/>
      <c r="I863" s="43"/>
      <c r="J863" s="39"/>
      <c r="K863" s="38"/>
      <c r="L863" s="39"/>
      <c r="M863" s="39"/>
      <c r="N863" s="43"/>
      <c r="O863" s="38"/>
      <c r="P863" s="38"/>
      <c r="Q863" s="41" t="str">
        <f ca="1">IF(emp_db[[#This Row],[Exit Date]]&lt;&gt;"",(emp_db[[#This Row],[Exit Date]]-emp_db[[#This Row],[Column1]])/365,IF(emp_db[[#This Row],[ID]]&lt;&gt;"",(TODAY()-emp_db[[#This Row],[Column1]])/365,""))</f>
        <v/>
      </c>
      <c r="R863" s="42" t="str">
        <f ca="1">IF(emp_db[[#This Row],[Date of Birth]]&lt;&gt;"",(TODAY()-emp_db[[#This Row],[Date of Birth]])/365,"")</f>
        <v/>
      </c>
      <c r="S863" s="42">
        <f>YEAR(emp_db[[#This Row],[Column1]])</f>
        <v>1900</v>
      </c>
      <c r="T863" s="42">
        <f>MONTH(emp_db[[#This Row],[Column1]])</f>
        <v>1</v>
      </c>
      <c r="U863" s="42">
        <f>IFERROR(YEAR(emp_db[[#This Row],[Exit Date]]),"")</f>
        <v>1900</v>
      </c>
      <c r="V863" s="42">
        <f>IFERROR(MONTH(emp_db[[#This Row],[Exit Date]]),"")</f>
        <v>1</v>
      </c>
    </row>
    <row r="864" spans="2:22">
      <c r="B864" s="39"/>
      <c r="C864" s="39"/>
      <c r="D864" s="39"/>
      <c r="E864" s="39"/>
      <c r="F864" s="40"/>
      <c r="G864" s="38"/>
      <c r="H864" s="43"/>
      <c r="I864" s="43"/>
      <c r="J864" s="39"/>
      <c r="K864" s="38"/>
      <c r="L864" s="39"/>
      <c r="M864" s="39"/>
      <c r="N864" s="43"/>
      <c r="O864" s="38"/>
      <c r="P864" s="38"/>
      <c r="Q864" s="41" t="str">
        <f ca="1">IF(emp_db[[#This Row],[Exit Date]]&lt;&gt;"",(emp_db[[#This Row],[Exit Date]]-emp_db[[#This Row],[Column1]])/365,IF(emp_db[[#This Row],[ID]]&lt;&gt;"",(TODAY()-emp_db[[#This Row],[Column1]])/365,""))</f>
        <v/>
      </c>
      <c r="R864" s="42" t="str">
        <f ca="1">IF(emp_db[[#This Row],[Date of Birth]]&lt;&gt;"",(TODAY()-emp_db[[#This Row],[Date of Birth]])/365,"")</f>
        <v/>
      </c>
      <c r="S864" s="42">
        <f>YEAR(emp_db[[#This Row],[Column1]])</f>
        <v>1900</v>
      </c>
      <c r="T864" s="42">
        <f>MONTH(emp_db[[#This Row],[Column1]])</f>
        <v>1</v>
      </c>
      <c r="U864" s="42">
        <f>IFERROR(YEAR(emp_db[[#This Row],[Exit Date]]),"")</f>
        <v>1900</v>
      </c>
      <c r="V864" s="42">
        <f>IFERROR(MONTH(emp_db[[#This Row],[Exit Date]]),"")</f>
        <v>1</v>
      </c>
    </row>
    <row r="865" spans="2:22">
      <c r="B865" s="39"/>
      <c r="C865" s="39"/>
      <c r="D865" s="39"/>
      <c r="E865" s="39"/>
      <c r="F865" s="40"/>
      <c r="G865" s="38"/>
      <c r="H865" s="43"/>
      <c r="I865" s="43"/>
      <c r="J865" s="39"/>
      <c r="K865" s="38"/>
      <c r="L865" s="39"/>
      <c r="M865" s="39"/>
      <c r="N865" s="43"/>
      <c r="O865" s="38"/>
      <c r="P865" s="38"/>
      <c r="Q865" s="41" t="str">
        <f ca="1">IF(emp_db[[#This Row],[Exit Date]]&lt;&gt;"",(emp_db[[#This Row],[Exit Date]]-emp_db[[#This Row],[Column1]])/365,IF(emp_db[[#This Row],[ID]]&lt;&gt;"",(TODAY()-emp_db[[#This Row],[Column1]])/365,""))</f>
        <v/>
      </c>
      <c r="R865" s="42" t="str">
        <f ca="1">IF(emp_db[[#This Row],[Date of Birth]]&lt;&gt;"",(TODAY()-emp_db[[#This Row],[Date of Birth]])/365,"")</f>
        <v/>
      </c>
      <c r="S865" s="42">
        <f>YEAR(emp_db[[#This Row],[Column1]])</f>
        <v>1900</v>
      </c>
      <c r="T865" s="42">
        <f>MONTH(emp_db[[#This Row],[Column1]])</f>
        <v>1</v>
      </c>
      <c r="U865" s="42">
        <f>IFERROR(YEAR(emp_db[[#This Row],[Exit Date]]),"")</f>
        <v>1900</v>
      </c>
      <c r="V865" s="42">
        <f>IFERROR(MONTH(emp_db[[#This Row],[Exit Date]]),"")</f>
        <v>1</v>
      </c>
    </row>
    <row r="866" spans="2:22">
      <c r="B866" s="39"/>
      <c r="C866" s="39"/>
      <c r="D866" s="39"/>
      <c r="E866" s="39"/>
      <c r="F866" s="40"/>
      <c r="G866" s="38"/>
      <c r="H866" s="43"/>
      <c r="I866" s="43"/>
      <c r="J866" s="39"/>
      <c r="K866" s="38"/>
      <c r="L866" s="39"/>
      <c r="M866" s="39"/>
      <c r="N866" s="43"/>
      <c r="O866" s="38"/>
      <c r="P866" s="38"/>
      <c r="Q866" s="41" t="str">
        <f ca="1">IF(emp_db[[#This Row],[Exit Date]]&lt;&gt;"",(emp_db[[#This Row],[Exit Date]]-emp_db[[#This Row],[Column1]])/365,IF(emp_db[[#This Row],[ID]]&lt;&gt;"",(TODAY()-emp_db[[#This Row],[Column1]])/365,""))</f>
        <v/>
      </c>
      <c r="R866" s="42" t="str">
        <f ca="1">IF(emp_db[[#This Row],[Date of Birth]]&lt;&gt;"",(TODAY()-emp_db[[#This Row],[Date of Birth]])/365,"")</f>
        <v/>
      </c>
      <c r="S866" s="42">
        <f>YEAR(emp_db[[#This Row],[Column1]])</f>
        <v>1900</v>
      </c>
      <c r="T866" s="42">
        <f>MONTH(emp_db[[#This Row],[Column1]])</f>
        <v>1</v>
      </c>
      <c r="U866" s="42">
        <f>IFERROR(YEAR(emp_db[[#This Row],[Exit Date]]),"")</f>
        <v>1900</v>
      </c>
      <c r="V866" s="42">
        <f>IFERROR(MONTH(emp_db[[#This Row],[Exit Date]]),"")</f>
        <v>1</v>
      </c>
    </row>
    <row r="867" spans="2:22">
      <c r="B867" s="39"/>
      <c r="C867" s="39"/>
      <c r="D867" s="39"/>
      <c r="E867" s="39"/>
      <c r="F867" s="40"/>
      <c r="G867" s="38"/>
      <c r="H867" s="43"/>
      <c r="I867" s="43"/>
      <c r="J867" s="39"/>
      <c r="K867" s="38"/>
      <c r="L867" s="39"/>
      <c r="M867" s="39"/>
      <c r="N867" s="43"/>
      <c r="O867" s="38"/>
      <c r="P867" s="38"/>
      <c r="Q867" s="41" t="str">
        <f ca="1">IF(emp_db[[#This Row],[Exit Date]]&lt;&gt;"",(emp_db[[#This Row],[Exit Date]]-emp_db[[#This Row],[Column1]])/365,IF(emp_db[[#This Row],[ID]]&lt;&gt;"",(TODAY()-emp_db[[#This Row],[Column1]])/365,""))</f>
        <v/>
      </c>
      <c r="R867" s="42" t="str">
        <f ca="1">IF(emp_db[[#This Row],[Date of Birth]]&lt;&gt;"",(TODAY()-emp_db[[#This Row],[Date of Birth]])/365,"")</f>
        <v/>
      </c>
      <c r="S867" s="42">
        <f>YEAR(emp_db[[#This Row],[Column1]])</f>
        <v>1900</v>
      </c>
      <c r="T867" s="42">
        <f>MONTH(emp_db[[#This Row],[Column1]])</f>
        <v>1</v>
      </c>
      <c r="U867" s="42">
        <f>IFERROR(YEAR(emp_db[[#This Row],[Exit Date]]),"")</f>
        <v>1900</v>
      </c>
      <c r="V867" s="42">
        <f>IFERROR(MONTH(emp_db[[#This Row],[Exit Date]]),"")</f>
        <v>1</v>
      </c>
    </row>
    <row r="868" spans="2:22">
      <c r="B868" s="39"/>
      <c r="C868" s="39"/>
      <c r="D868" s="39"/>
      <c r="E868" s="39"/>
      <c r="F868" s="40"/>
      <c r="G868" s="38"/>
      <c r="H868" s="43"/>
      <c r="I868" s="43"/>
      <c r="J868" s="39"/>
      <c r="K868" s="38"/>
      <c r="L868" s="39"/>
      <c r="M868" s="39"/>
      <c r="N868" s="43"/>
      <c r="O868" s="38"/>
      <c r="P868" s="38"/>
      <c r="Q868" s="41" t="str">
        <f ca="1">IF(emp_db[[#This Row],[Exit Date]]&lt;&gt;"",(emp_db[[#This Row],[Exit Date]]-emp_db[[#This Row],[Column1]])/365,IF(emp_db[[#This Row],[ID]]&lt;&gt;"",(TODAY()-emp_db[[#This Row],[Column1]])/365,""))</f>
        <v/>
      </c>
      <c r="R868" s="42" t="str">
        <f ca="1">IF(emp_db[[#This Row],[Date of Birth]]&lt;&gt;"",(TODAY()-emp_db[[#This Row],[Date of Birth]])/365,"")</f>
        <v/>
      </c>
      <c r="S868" s="42">
        <f>YEAR(emp_db[[#This Row],[Column1]])</f>
        <v>1900</v>
      </c>
      <c r="T868" s="42">
        <f>MONTH(emp_db[[#This Row],[Column1]])</f>
        <v>1</v>
      </c>
      <c r="U868" s="42">
        <f>IFERROR(YEAR(emp_db[[#This Row],[Exit Date]]),"")</f>
        <v>1900</v>
      </c>
      <c r="V868" s="42">
        <f>IFERROR(MONTH(emp_db[[#This Row],[Exit Date]]),"")</f>
        <v>1</v>
      </c>
    </row>
    <row r="869" spans="2:22">
      <c r="B869" s="39"/>
      <c r="C869" s="39"/>
      <c r="D869" s="39"/>
      <c r="E869" s="39"/>
      <c r="F869" s="40"/>
      <c r="G869" s="38"/>
      <c r="H869" s="43"/>
      <c r="I869" s="43"/>
      <c r="J869" s="39"/>
      <c r="K869" s="38"/>
      <c r="L869" s="39"/>
      <c r="M869" s="39"/>
      <c r="N869" s="43"/>
      <c r="O869" s="38"/>
      <c r="P869" s="38"/>
      <c r="Q869" s="41" t="str">
        <f ca="1">IF(emp_db[[#This Row],[Exit Date]]&lt;&gt;"",(emp_db[[#This Row],[Exit Date]]-emp_db[[#This Row],[Column1]])/365,IF(emp_db[[#This Row],[ID]]&lt;&gt;"",(TODAY()-emp_db[[#This Row],[Column1]])/365,""))</f>
        <v/>
      </c>
      <c r="R869" s="42" t="str">
        <f ca="1">IF(emp_db[[#This Row],[Date of Birth]]&lt;&gt;"",(TODAY()-emp_db[[#This Row],[Date of Birth]])/365,"")</f>
        <v/>
      </c>
      <c r="S869" s="42">
        <f>YEAR(emp_db[[#This Row],[Column1]])</f>
        <v>1900</v>
      </c>
      <c r="T869" s="42">
        <f>MONTH(emp_db[[#This Row],[Column1]])</f>
        <v>1</v>
      </c>
      <c r="U869" s="42">
        <f>IFERROR(YEAR(emp_db[[#This Row],[Exit Date]]),"")</f>
        <v>1900</v>
      </c>
      <c r="V869" s="42">
        <f>IFERROR(MONTH(emp_db[[#This Row],[Exit Date]]),"")</f>
        <v>1</v>
      </c>
    </row>
    <row r="870" spans="2:22">
      <c r="B870" s="39"/>
      <c r="C870" s="39"/>
      <c r="D870" s="39"/>
      <c r="E870" s="39"/>
      <c r="F870" s="40"/>
      <c r="G870" s="38"/>
      <c r="H870" s="43"/>
      <c r="I870" s="43"/>
      <c r="J870" s="39"/>
      <c r="K870" s="38"/>
      <c r="L870" s="39"/>
      <c r="M870" s="39"/>
      <c r="N870" s="43"/>
      <c r="O870" s="38"/>
      <c r="P870" s="38"/>
      <c r="Q870" s="41" t="str">
        <f ca="1">IF(emp_db[[#This Row],[Exit Date]]&lt;&gt;"",(emp_db[[#This Row],[Exit Date]]-emp_db[[#This Row],[Column1]])/365,IF(emp_db[[#This Row],[ID]]&lt;&gt;"",(TODAY()-emp_db[[#This Row],[Column1]])/365,""))</f>
        <v/>
      </c>
      <c r="R870" s="42" t="str">
        <f ca="1">IF(emp_db[[#This Row],[Date of Birth]]&lt;&gt;"",(TODAY()-emp_db[[#This Row],[Date of Birth]])/365,"")</f>
        <v/>
      </c>
      <c r="S870" s="42">
        <f>YEAR(emp_db[[#This Row],[Column1]])</f>
        <v>1900</v>
      </c>
      <c r="T870" s="42">
        <f>MONTH(emp_db[[#This Row],[Column1]])</f>
        <v>1</v>
      </c>
      <c r="U870" s="42">
        <f>IFERROR(YEAR(emp_db[[#This Row],[Exit Date]]),"")</f>
        <v>1900</v>
      </c>
      <c r="V870" s="42">
        <f>IFERROR(MONTH(emp_db[[#This Row],[Exit Date]]),"")</f>
        <v>1</v>
      </c>
    </row>
    <row r="871" spans="2:22">
      <c r="B871" s="39"/>
      <c r="C871" s="39"/>
      <c r="D871" s="39"/>
      <c r="E871" s="39"/>
      <c r="F871" s="40"/>
      <c r="G871" s="38"/>
      <c r="H871" s="43"/>
      <c r="I871" s="43"/>
      <c r="J871" s="39"/>
      <c r="K871" s="38"/>
      <c r="L871" s="39"/>
      <c r="M871" s="39"/>
      <c r="N871" s="43"/>
      <c r="O871" s="38"/>
      <c r="P871" s="38"/>
      <c r="Q871" s="41" t="str">
        <f ca="1">IF(emp_db[[#This Row],[Exit Date]]&lt;&gt;"",(emp_db[[#This Row],[Exit Date]]-emp_db[[#This Row],[Column1]])/365,IF(emp_db[[#This Row],[ID]]&lt;&gt;"",(TODAY()-emp_db[[#This Row],[Column1]])/365,""))</f>
        <v/>
      </c>
      <c r="R871" s="42" t="str">
        <f ca="1">IF(emp_db[[#This Row],[Date of Birth]]&lt;&gt;"",(TODAY()-emp_db[[#This Row],[Date of Birth]])/365,"")</f>
        <v/>
      </c>
      <c r="S871" s="42">
        <f>YEAR(emp_db[[#This Row],[Column1]])</f>
        <v>1900</v>
      </c>
      <c r="T871" s="42">
        <f>MONTH(emp_db[[#This Row],[Column1]])</f>
        <v>1</v>
      </c>
      <c r="U871" s="42">
        <f>IFERROR(YEAR(emp_db[[#This Row],[Exit Date]]),"")</f>
        <v>1900</v>
      </c>
      <c r="V871" s="42">
        <f>IFERROR(MONTH(emp_db[[#This Row],[Exit Date]]),"")</f>
        <v>1</v>
      </c>
    </row>
    <row r="872" spans="2:22">
      <c r="B872" s="39"/>
      <c r="C872" s="39"/>
      <c r="D872" s="39"/>
      <c r="E872" s="39"/>
      <c r="F872" s="40"/>
      <c r="G872" s="38"/>
      <c r="H872" s="43"/>
      <c r="I872" s="43"/>
      <c r="J872" s="39"/>
      <c r="K872" s="38"/>
      <c r="L872" s="39"/>
      <c r="M872" s="39"/>
      <c r="N872" s="43"/>
      <c r="O872" s="38"/>
      <c r="P872" s="38"/>
      <c r="Q872" s="41" t="str">
        <f ca="1">IF(emp_db[[#This Row],[Exit Date]]&lt;&gt;"",(emp_db[[#This Row],[Exit Date]]-emp_db[[#This Row],[Column1]])/365,IF(emp_db[[#This Row],[ID]]&lt;&gt;"",(TODAY()-emp_db[[#This Row],[Column1]])/365,""))</f>
        <v/>
      </c>
      <c r="R872" s="42" t="str">
        <f ca="1">IF(emp_db[[#This Row],[Date of Birth]]&lt;&gt;"",(TODAY()-emp_db[[#This Row],[Date of Birth]])/365,"")</f>
        <v/>
      </c>
      <c r="S872" s="42">
        <f>YEAR(emp_db[[#This Row],[Column1]])</f>
        <v>1900</v>
      </c>
      <c r="T872" s="42">
        <f>MONTH(emp_db[[#This Row],[Column1]])</f>
        <v>1</v>
      </c>
      <c r="U872" s="42">
        <f>IFERROR(YEAR(emp_db[[#This Row],[Exit Date]]),"")</f>
        <v>1900</v>
      </c>
      <c r="V872" s="42">
        <f>IFERROR(MONTH(emp_db[[#This Row],[Exit Date]]),"")</f>
        <v>1</v>
      </c>
    </row>
    <row r="873" spans="2:22">
      <c r="B873" s="39"/>
      <c r="C873" s="39"/>
      <c r="D873" s="39"/>
      <c r="E873" s="39"/>
      <c r="F873" s="40"/>
      <c r="G873" s="38"/>
      <c r="H873" s="43"/>
      <c r="I873" s="43"/>
      <c r="J873" s="39"/>
      <c r="K873" s="38"/>
      <c r="L873" s="39"/>
      <c r="M873" s="39"/>
      <c r="N873" s="43"/>
      <c r="O873" s="38"/>
      <c r="P873" s="38"/>
      <c r="Q873" s="41" t="str">
        <f ca="1">IF(emp_db[[#This Row],[Exit Date]]&lt;&gt;"",(emp_db[[#This Row],[Exit Date]]-emp_db[[#This Row],[Column1]])/365,IF(emp_db[[#This Row],[ID]]&lt;&gt;"",(TODAY()-emp_db[[#This Row],[Column1]])/365,""))</f>
        <v/>
      </c>
      <c r="R873" s="42" t="str">
        <f ca="1">IF(emp_db[[#This Row],[Date of Birth]]&lt;&gt;"",(TODAY()-emp_db[[#This Row],[Date of Birth]])/365,"")</f>
        <v/>
      </c>
      <c r="S873" s="42">
        <f>YEAR(emp_db[[#This Row],[Column1]])</f>
        <v>1900</v>
      </c>
      <c r="T873" s="42">
        <f>MONTH(emp_db[[#This Row],[Column1]])</f>
        <v>1</v>
      </c>
      <c r="U873" s="42">
        <f>IFERROR(YEAR(emp_db[[#This Row],[Exit Date]]),"")</f>
        <v>1900</v>
      </c>
      <c r="V873" s="42">
        <f>IFERROR(MONTH(emp_db[[#This Row],[Exit Date]]),"")</f>
        <v>1</v>
      </c>
    </row>
    <row r="874" spans="2:22">
      <c r="B874" s="39"/>
      <c r="C874" s="39"/>
      <c r="D874" s="39"/>
      <c r="E874" s="39"/>
      <c r="F874" s="40"/>
      <c r="G874" s="38"/>
      <c r="H874" s="43"/>
      <c r="I874" s="43"/>
      <c r="J874" s="39"/>
      <c r="K874" s="38"/>
      <c r="L874" s="39"/>
      <c r="M874" s="39"/>
      <c r="N874" s="43"/>
      <c r="O874" s="38"/>
      <c r="P874" s="38"/>
      <c r="Q874" s="41" t="str">
        <f ca="1">IF(emp_db[[#This Row],[Exit Date]]&lt;&gt;"",(emp_db[[#This Row],[Exit Date]]-emp_db[[#This Row],[Column1]])/365,IF(emp_db[[#This Row],[ID]]&lt;&gt;"",(TODAY()-emp_db[[#This Row],[Column1]])/365,""))</f>
        <v/>
      </c>
      <c r="R874" s="42" t="str">
        <f ca="1">IF(emp_db[[#This Row],[Date of Birth]]&lt;&gt;"",(TODAY()-emp_db[[#This Row],[Date of Birth]])/365,"")</f>
        <v/>
      </c>
      <c r="S874" s="42">
        <f>YEAR(emp_db[[#This Row],[Column1]])</f>
        <v>1900</v>
      </c>
      <c r="T874" s="42">
        <f>MONTH(emp_db[[#This Row],[Column1]])</f>
        <v>1</v>
      </c>
      <c r="U874" s="42">
        <f>IFERROR(YEAR(emp_db[[#This Row],[Exit Date]]),"")</f>
        <v>1900</v>
      </c>
      <c r="V874" s="42">
        <f>IFERROR(MONTH(emp_db[[#This Row],[Exit Date]]),"")</f>
        <v>1</v>
      </c>
    </row>
    <row r="875" spans="2:22">
      <c r="B875" s="39"/>
      <c r="C875" s="39"/>
      <c r="D875" s="39"/>
      <c r="E875" s="39"/>
      <c r="F875" s="40"/>
      <c r="G875" s="38"/>
      <c r="H875" s="43"/>
      <c r="I875" s="43"/>
      <c r="J875" s="39"/>
      <c r="K875" s="38"/>
      <c r="L875" s="39"/>
      <c r="M875" s="39"/>
      <c r="N875" s="43"/>
      <c r="O875" s="38"/>
      <c r="P875" s="38"/>
      <c r="Q875" s="41" t="str">
        <f ca="1">IF(emp_db[[#This Row],[Exit Date]]&lt;&gt;"",(emp_db[[#This Row],[Exit Date]]-emp_db[[#This Row],[Column1]])/365,IF(emp_db[[#This Row],[ID]]&lt;&gt;"",(TODAY()-emp_db[[#This Row],[Column1]])/365,""))</f>
        <v/>
      </c>
      <c r="R875" s="42" t="str">
        <f ca="1">IF(emp_db[[#This Row],[Date of Birth]]&lt;&gt;"",(TODAY()-emp_db[[#This Row],[Date of Birth]])/365,"")</f>
        <v/>
      </c>
      <c r="S875" s="42">
        <f>YEAR(emp_db[[#This Row],[Column1]])</f>
        <v>1900</v>
      </c>
      <c r="T875" s="42">
        <f>MONTH(emp_db[[#This Row],[Column1]])</f>
        <v>1</v>
      </c>
      <c r="U875" s="42">
        <f>IFERROR(YEAR(emp_db[[#This Row],[Exit Date]]),"")</f>
        <v>1900</v>
      </c>
      <c r="V875" s="42">
        <f>IFERROR(MONTH(emp_db[[#This Row],[Exit Date]]),"")</f>
        <v>1</v>
      </c>
    </row>
    <row r="876" spans="2:22">
      <c r="B876" s="39"/>
      <c r="C876" s="39"/>
      <c r="D876" s="39"/>
      <c r="E876" s="39"/>
      <c r="F876" s="40"/>
      <c r="G876" s="38"/>
      <c r="H876" s="43"/>
      <c r="I876" s="43"/>
      <c r="J876" s="39"/>
      <c r="K876" s="38"/>
      <c r="L876" s="39"/>
      <c r="M876" s="39"/>
      <c r="N876" s="43"/>
      <c r="O876" s="38"/>
      <c r="P876" s="38"/>
      <c r="Q876" s="41" t="str">
        <f ca="1">IF(emp_db[[#This Row],[Exit Date]]&lt;&gt;"",(emp_db[[#This Row],[Exit Date]]-emp_db[[#This Row],[Column1]])/365,IF(emp_db[[#This Row],[ID]]&lt;&gt;"",(TODAY()-emp_db[[#This Row],[Column1]])/365,""))</f>
        <v/>
      </c>
      <c r="R876" s="42" t="str">
        <f ca="1">IF(emp_db[[#This Row],[Date of Birth]]&lt;&gt;"",(TODAY()-emp_db[[#This Row],[Date of Birth]])/365,"")</f>
        <v/>
      </c>
      <c r="S876" s="42">
        <f>YEAR(emp_db[[#This Row],[Column1]])</f>
        <v>1900</v>
      </c>
      <c r="T876" s="42">
        <f>MONTH(emp_db[[#This Row],[Column1]])</f>
        <v>1</v>
      </c>
      <c r="U876" s="42">
        <f>IFERROR(YEAR(emp_db[[#This Row],[Exit Date]]),"")</f>
        <v>1900</v>
      </c>
      <c r="V876" s="42">
        <f>IFERROR(MONTH(emp_db[[#This Row],[Exit Date]]),"")</f>
        <v>1</v>
      </c>
    </row>
    <row r="877" spans="2:22">
      <c r="B877" s="39"/>
      <c r="C877" s="39"/>
      <c r="D877" s="39"/>
      <c r="E877" s="39"/>
      <c r="F877" s="40"/>
      <c r="G877" s="38"/>
      <c r="H877" s="43"/>
      <c r="I877" s="43"/>
      <c r="J877" s="39"/>
      <c r="K877" s="38"/>
      <c r="L877" s="39"/>
      <c r="M877" s="39"/>
      <c r="N877" s="43"/>
      <c r="O877" s="38"/>
      <c r="P877" s="38"/>
      <c r="Q877" s="41" t="str">
        <f ca="1">IF(emp_db[[#This Row],[Exit Date]]&lt;&gt;"",(emp_db[[#This Row],[Exit Date]]-emp_db[[#This Row],[Column1]])/365,IF(emp_db[[#This Row],[ID]]&lt;&gt;"",(TODAY()-emp_db[[#This Row],[Column1]])/365,""))</f>
        <v/>
      </c>
      <c r="R877" s="42" t="str">
        <f ca="1">IF(emp_db[[#This Row],[Date of Birth]]&lt;&gt;"",(TODAY()-emp_db[[#This Row],[Date of Birth]])/365,"")</f>
        <v/>
      </c>
      <c r="S877" s="42">
        <f>YEAR(emp_db[[#This Row],[Column1]])</f>
        <v>1900</v>
      </c>
      <c r="T877" s="42">
        <f>MONTH(emp_db[[#This Row],[Column1]])</f>
        <v>1</v>
      </c>
      <c r="U877" s="42">
        <f>IFERROR(YEAR(emp_db[[#This Row],[Exit Date]]),"")</f>
        <v>1900</v>
      </c>
      <c r="V877" s="42">
        <f>IFERROR(MONTH(emp_db[[#This Row],[Exit Date]]),"")</f>
        <v>1</v>
      </c>
    </row>
    <row r="878" spans="2:22">
      <c r="B878" s="39"/>
      <c r="C878" s="39"/>
      <c r="D878" s="39"/>
      <c r="E878" s="39"/>
      <c r="F878" s="40"/>
      <c r="G878" s="38"/>
      <c r="H878" s="43"/>
      <c r="I878" s="43"/>
      <c r="J878" s="39"/>
      <c r="K878" s="38"/>
      <c r="L878" s="39"/>
      <c r="M878" s="39"/>
      <c r="N878" s="43"/>
      <c r="O878" s="38"/>
      <c r="P878" s="38"/>
      <c r="Q878" s="41" t="str">
        <f ca="1">IF(emp_db[[#This Row],[Exit Date]]&lt;&gt;"",(emp_db[[#This Row],[Exit Date]]-emp_db[[#This Row],[Column1]])/365,IF(emp_db[[#This Row],[ID]]&lt;&gt;"",(TODAY()-emp_db[[#This Row],[Column1]])/365,""))</f>
        <v/>
      </c>
      <c r="R878" s="42" t="str">
        <f ca="1">IF(emp_db[[#This Row],[Date of Birth]]&lt;&gt;"",(TODAY()-emp_db[[#This Row],[Date of Birth]])/365,"")</f>
        <v/>
      </c>
      <c r="S878" s="42">
        <f>YEAR(emp_db[[#This Row],[Column1]])</f>
        <v>1900</v>
      </c>
      <c r="T878" s="42">
        <f>MONTH(emp_db[[#This Row],[Column1]])</f>
        <v>1</v>
      </c>
      <c r="U878" s="42">
        <f>IFERROR(YEAR(emp_db[[#This Row],[Exit Date]]),"")</f>
        <v>1900</v>
      </c>
      <c r="V878" s="42">
        <f>IFERROR(MONTH(emp_db[[#This Row],[Exit Date]]),"")</f>
        <v>1</v>
      </c>
    </row>
    <row r="879" spans="2:22">
      <c r="B879" s="39"/>
      <c r="C879" s="39"/>
      <c r="D879" s="39"/>
      <c r="E879" s="39"/>
      <c r="F879" s="40"/>
      <c r="G879" s="38"/>
      <c r="H879" s="43"/>
      <c r="I879" s="43"/>
      <c r="J879" s="39"/>
      <c r="K879" s="38"/>
      <c r="L879" s="39"/>
      <c r="M879" s="39"/>
      <c r="N879" s="43"/>
      <c r="O879" s="38"/>
      <c r="P879" s="38"/>
      <c r="Q879" s="41" t="str">
        <f ca="1">IF(emp_db[[#This Row],[Exit Date]]&lt;&gt;"",(emp_db[[#This Row],[Exit Date]]-emp_db[[#This Row],[Column1]])/365,IF(emp_db[[#This Row],[ID]]&lt;&gt;"",(TODAY()-emp_db[[#This Row],[Column1]])/365,""))</f>
        <v/>
      </c>
      <c r="R879" s="42" t="str">
        <f ca="1">IF(emp_db[[#This Row],[Date of Birth]]&lt;&gt;"",(TODAY()-emp_db[[#This Row],[Date of Birth]])/365,"")</f>
        <v/>
      </c>
      <c r="S879" s="42">
        <f>YEAR(emp_db[[#This Row],[Column1]])</f>
        <v>1900</v>
      </c>
      <c r="T879" s="42">
        <f>MONTH(emp_db[[#This Row],[Column1]])</f>
        <v>1</v>
      </c>
      <c r="U879" s="42">
        <f>IFERROR(YEAR(emp_db[[#This Row],[Exit Date]]),"")</f>
        <v>1900</v>
      </c>
      <c r="V879" s="42">
        <f>IFERROR(MONTH(emp_db[[#This Row],[Exit Date]]),"")</f>
        <v>1</v>
      </c>
    </row>
    <row r="880" spans="2:22">
      <c r="B880" s="39"/>
      <c r="C880" s="39"/>
      <c r="D880" s="39"/>
      <c r="E880" s="39"/>
      <c r="F880" s="40"/>
      <c r="G880" s="38"/>
      <c r="H880" s="43"/>
      <c r="I880" s="43"/>
      <c r="J880" s="39"/>
      <c r="K880" s="38"/>
      <c r="L880" s="39"/>
      <c r="M880" s="39"/>
      <c r="N880" s="43"/>
      <c r="O880" s="38"/>
      <c r="P880" s="38"/>
      <c r="Q880" s="41" t="str">
        <f ca="1">IF(emp_db[[#This Row],[Exit Date]]&lt;&gt;"",(emp_db[[#This Row],[Exit Date]]-emp_db[[#This Row],[Column1]])/365,IF(emp_db[[#This Row],[ID]]&lt;&gt;"",(TODAY()-emp_db[[#This Row],[Column1]])/365,""))</f>
        <v/>
      </c>
      <c r="R880" s="42" t="str">
        <f ca="1">IF(emp_db[[#This Row],[Date of Birth]]&lt;&gt;"",(TODAY()-emp_db[[#This Row],[Date of Birth]])/365,"")</f>
        <v/>
      </c>
      <c r="S880" s="42">
        <f>YEAR(emp_db[[#This Row],[Column1]])</f>
        <v>1900</v>
      </c>
      <c r="T880" s="42">
        <f>MONTH(emp_db[[#This Row],[Column1]])</f>
        <v>1</v>
      </c>
      <c r="U880" s="42">
        <f>IFERROR(YEAR(emp_db[[#This Row],[Exit Date]]),"")</f>
        <v>1900</v>
      </c>
      <c r="V880" s="42">
        <f>IFERROR(MONTH(emp_db[[#This Row],[Exit Date]]),"")</f>
        <v>1</v>
      </c>
    </row>
    <row r="881" spans="2:22">
      <c r="B881" s="39"/>
      <c r="C881" s="39"/>
      <c r="D881" s="39"/>
      <c r="E881" s="39"/>
      <c r="F881" s="40"/>
      <c r="G881" s="38"/>
      <c r="H881" s="43"/>
      <c r="I881" s="43"/>
      <c r="J881" s="39"/>
      <c r="K881" s="38"/>
      <c r="L881" s="39"/>
      <c r="M881" s="39"/>
      <c r="N881" s="43"/>
      <c r="O881" s="38"/>
      <c r="P881" s="38"/>
      <c r="Q881" s="41" t="str">
        <f ca="1">IF(emp_db[[#This Row],[Exit Date]]&lt;&gt;"",(emp_db[[#This Row],[Exit Date]]-emp_db[[#This Row],[Column1]])/365,IF(emp_db[[#This Row],[ID]]&lt;&gt;"",(TODAY()-emp_db[[#This Row],[Column1]])/365,""))</f>
        <v/>
      </c>
      <c r="R881" s="42" t="str">
        <f ca="1">IF(emp_db[[#This Row],[Date of Birth]]&lt;&gt;"",(TODAY()-emp_db[[#This Row],[Date of Birth]])/365,"")</f>
        <v/>
      </c>
      <c r="S881" s="42">
        <f>YEAR(emp_db[[#This Row],[Column1]])</f>
        <v>1900</v>
      </c>
      <c r="T881" s="42">
        <f>MONTH(emp_db[[#This Row],[Column1]])</f>
        <v>1</v>
      </c>
      <c r="U881" s="42">
        <f>IFERROR(YEAR(emp_db[[#This Row],[Exit Date]]),"")</f>
        <v>1900</v>
      </c>
      <c r="V881" s="42">
        <f>IFERROR(MONTH(emp_db[[#This Row],[Exit Date]]),"")</f>
        <v>1</v>
      </c>
    </row>
    <row r="882" spans="2:22">
      <c r="B882" s="39"/>
      <c r="C882" s="39"/>
      <c r="D882" s="39"/>
      <c r="E882" s="39"/>
      <c r="F882" s="40"/>
      <c r="G882" s="38"/>
      <c r="H882" s="43"/>
      <c r="I882" s="43"/>
      <c r="J882" s="39"/>
      <c r="K882" s="38"/>
      <c r="L882" s="39"/>
      <c r="M882" s="39"/>
      <c r="N882" s="43"/>
      <c r="O882" s="38"/>
      <c r="P882" s="38"/>
      <c r="Q882" s="41" t="str">
        <f ca="1">IF(emp_db[[#This Row],[Exit Date]]&lt;&gt;"",(emp_db[[#This Row],[Exit Date]]-emp_db[[#This Row],[Column1]])/365,IF(emp_db[[#This Row],[ID]]&lt;&gt;"",(TODAY()-emp_db[[#This Row],[Column1]])/365,""))</f>
        <v/>
      </c>
      <c r="R882" s="42" t="str">
        <f ca="1">IF(emp_db[[#This Row],[Date of Birth]]&lt;&gt;"",(TODAY()-emp_db[[#This Row],[Date of Birth]])/365,"")</f>
        <v/>
      </c>
      <c r="S882" s="42">
        <f>YEAR(emp_db[[#This Row],[Column1]])</f>
        <v>1900</v>
      </c>
      <c r="T882" s="42">
        <f>MONTH(emp_db[[#This Row],[Column1]])</f>
        <v>1</v>
      </c>
      <c r="U882" s="42">
        <f>IFERROR(YEAR(emp_db[[#This Row],[Exit Date]]),"")</f>
        <v>1900</v>
      </c>
      <c r="V882" s="42">
        <f>IFERROR(MONTH(emp_db[[#This Row],[Exit Date]]),"")</f>
        <v>1</v>
      </c>
    </row>
    <row r="883" spans="2:22">
      <c r="B883" s="39"/>
      <c r="C883" s="39"/>
      <c r="D883" s="39"/>
      <c r="E883" s="39"/>
      <c r="F883" s="40"/>
      <c r="G883" s="38"/>
      <c r="H883" s="43"/>
      <c r="I883" s="43"/>
      <c r="J883" s="39"/>
      <c r="K883" s="38"/>
      <c r="L883" s="39"/>
      <c r="M883" s="39"/>
      <c r="N883" s="43"/>
      <c r="O883" s="38"/>
      <c r="P883" s="38"/>
      <c r="Q883" s="41" t="str">
        <f ca="1">IF(emp_db[[#This Row],[Exit Date]]&lt;&gt;"",(emp_db[[#This Row],[Exit Date]]-emp_db[[#This Row],[Column1]])/365,IF(emp_db[[#This Row],[ID]]&lt;&gt;"",(TODAY()-emp_db[[#This Row],[Column1]])/365,""))</f>
        <v/>
      </c>
      <c r="R883" s="42" t="str">
        <f ca="1">IF(emp_db[[#This Row],[Date of Birth]]&lt;&gt;"",(TODAY()-emp_db[[#This Row],[Date of Birth]])/365,"")</f>
        <v/>
      </c>
      <c r="S883" s="42">
        <f>YEAR(emp_db[[#This Row],[Column1]])</f>
        <v>1900</v>
      </c>
      <c r="T883" s="42">
        <f>MONTH(emp_db[[#This Row],[Column1]])</f>
        <v>1</v>
      </c>
      <c r="U883" s="42">
        <f>IFERROR(YEAR(emp_db[[#This Row],[Exit Date]]),"")</f>
        <v>1900</v>
      </c>
      <c r="V883" s="42">
        <f>IFERROR(MONTH(emp_db[[#This Row],[Exit Date]]),"")</f>
        <v>1</v>
      </c>
    </row>
    <row r="884" spans="2:22">
      <c r="B884" s="39"/>
      <c r="C884" s="39"/>
      <c r="D884" s="39"/>
      <c r="E884" s="39"/>
      <c r="F884" s="40"/>
      <c r="G884" s="38"/>
      <c r="H884" s="43"/>
      <c r="I884" s="43"/>
      <c r="J884" s="39"/>
      <c r="K884" s="38"/>
      <c r="L884" s="39"/>
      <c r="M884" s="39"/>
      <c r="N884" s="43"/>
      <c r="O884" s="38"/>
      <c r="P884" s="38"/>
      <c r="Q884" s="41" t="str">
        <f ca="1">IF(emp_db[[#This Row],[Exit Date]]&lt;&gt;"",(emp_db[[#This Row],[Exit Date]]-emp_db[[#This Row],[Column1]])/365,IF(emp_db[[#This Row],[ID]]&lt;&gt;"",(TODAY()-emp_db[[#This Row],[Column1]])/365,""))</f>
        <v/>
      </c>
      <c r="R884" s="42" t="str">
        <f ca="1">IF(emp_db[[#This Row],[Date of Birth]]&lt;&gt;"",(TODAY()-emp_db[[#This Row],[Date of Birth]])/365,"")</f>
        <v/>
      </c>
      <c r="S884" s="42">
        <f>YEAR(emp_db[[#This Row],[Column1]])</f>
        <v>1900</v>
      </c>
      <c r="T884" s="42">
        <f>MONTH(emp_db[[#This Row],[Column1]])</f>
        <v>1</v>
      </c>
      <c r="U884" s="42">
        <f>IFERROR(YEAR(emp_db[[#This Row],[Exit Date]]),"")</f>
        <v>1900</v>
      </c>
      <c r="V884" s="42">
        <f>IFERROR(MONTH(emp_db[[#This Row],[Exit Date]]),"")</f>
        <v>1</v>
      </c>
    </row>
    <row r="885" spans="2:22">
      <c r="B885" s="39"/>
      <c r="C885" s="39"/>
      <c r="D885" s="39"/>
      <c r="E885" s="39"/>
      <c r="F885" s="40"/>
      <c r="G885" s="38"/>
      <c r="H885" s="43"/>
      <c r="I885" s="43"/>
      <c r="J885" s="39"/>
      <c r="K885" s="38"/>
      <c r="L885" s="39"/>
      <c r="M885" s="39"/>
      <c r="N885" s="43"/>
      <c r="O885" s="38"/>
      <c r="P885" s="38"/>
      <c r="Q885" s="41" t="str">
        <f ca="1">IF(emp_db[[#This Row],[Exit Date]]&lt;&gt;"",(emp_db[[#This Row],[Exit Date]]-emp_db[[#This Row],[Column1]])/365,IF(emp_db[[#This Row],[ID]]&lt;&gt;"",(TODAY()-emp_db[[#This Row],[Column1]])/365,""))</f>
        <v/>
      </c>
      <c r="R885" s="42" t="str">
        <f ca="1">IF(emp_db[[#This Row],[Date of Birth]]&lt;&gt;"",(TODAY()-emp_db[[#This Row],[Date of Birth]])/365,"")</f>
        <v/>
      </c>
      <c r="S885" s="42">
        <f>YEAR(emp_db[[#This Row],[Column1]])</f>
        <v>1900</v>
      </c>
      <c r="T885" s="42">
        <f>MONTH(emp_db[[#This Row],[Column1]])</f>
        <v>1</v>
      </c>
      <c r="U885" s="42">
        <f>IFERROR(YEAR(emp_db[[#This Row],[Exit Date]]),"")</f>
        <v>1900</v>
      </c>
      <c r="V885" s="42">
        <f>IFERROR(MONTH(emp_db[[#This Row],[Exit Date]]),"")</f>
        <v>1</v>
      </c>
    </row>
    <row r="886" spans="2:22">
      <c r="B886" s="39"/>
      <c r="C886" s="39"/>
      <c r="D886" s="39"/>
      <c r="E886" s="39"/>
      <c r="F886" s="40"/>
      <c r="G886" s="38"/>
      <c r="H886" s="43"/>
      <c r="I886" s="43"/>
      <c r="J886" s="39"/>
      <c r="K886" s="38"/>
      <c r="L886" s="39"/>
      <c r="M886" s="39"/>
      <c r="N886" s="43"/>
      <c r="O886" s="38"/>
      <c r="P886" s="38"/>
      <c r="Q886" s="41" t="str">
        <f ca="1">IF(emp_db[[#This Row],[Exit Date]]&lt;&gt;"",(emp_db[[#This Row],[Exit Date]]-emp_db[[#This Row],[Column1]])/365,IF(emp_db[[#This Row],[ID]]&lt;&gt;"",(TODAY()-emp_db[[#This Row],[Column1]])/365,""))</f>
        <v/>
      </c>
      <c r="R886" s="42" t="str">
        <f ca="1">IF(emp_db[[#This Row],[Date of Birth]]&lt;&gt;"",(TODAY()-emp_db[[#This Row],[Date of Birth]])/365,"")</f>
        <v/>
      </c>
      <c r="S886" s="42">
        <f>YEAR(emp_db[[#This Row],[Column1]])</f>
        <v>1900</v>
      </c>
      <c r="T886" s="42">
        <f>MONTH(emp_db[[#This Row],[Column1]])</f>
        <v>1</v>
      </c>
      <c r="U886" s="42">
        <f>IFERROR(YEAR(emp_db[[#This Row],[Exit Date]]),"")</f>
        <v>1900</v>
      </c>
      <c r="V886" s="42">
        <f>IFERROR(MONTH(emp_db[[#This Row],[Exit Date]]),"")</f>
        <v>1</v>
      </c>
    </row>
    <row r="887" spans="2:22">
      <c r="B887" s="39"/>
      <c r="C887" s="39"/>
      <c r="D887" s="39"/>
      <c r="E887" s="39"/>
      <c r="F887" s="40"/>
      <c r="G887" s="38"/>
      <c r="H887" s="43"/>
      <c r="I887" s="43"/>
      <c r="J887" s="39"/>
      <c r="K887" s="38"/>
      <c r="L887" s="39"/>
      <c r="M887" s="39"/>
      <c r="N887" s="43"/>
      <c r="O887" s="38"/>
      <c r="P887" s="38"/>
      <c r="Q887" s="41" t="str">
        <f ca="1">IF(emp_db[[#This Row],[Exit Date]]&lt;&gt;"",(emp_db[[#This Row],[Exit Date]]-emp_db[[#This Row],[Column1]])/365,IF(emp_db[[#This Row],[ID]]&lt;&gt;"",(TODAY()-emp_db[[#This Row],[Column1]])/365,""))</f>
        <v/>
      </c>
      <c r="R887" s="42" t="str">
        <f ca="1">IF(emp_db[[#This Row],[Date of Birth]]&lt;&gt;"",(TODAY()-emp_db[[#This Row],[Date of Birth]])/365,"")</f>
        <v/>
      </c>
      <c r="S887" s="42">
        <f>YEAR(emp_db[[#This Row],[Column1]])</f>
        <v>1900</v>
      </c>
      <c r="T887" s="42">
        <f>MONTH(emp_db[[#This Row],[Column1]])</f>
        <v>1</v>
      </c>
      <c r="U887" s="42">
        <f>IFERROR(YEAR(emp_db[[#This Row],[Exit Date]]),"")</f>
        <v>1900</v>
      </c>
      <c r="V887" s="42">
        <f>IFERROR(MONTH(emp_db[[#This Row],[Exit Date]]),"")</f>
        <v>1</v>
      </c>
    </row>
    <row r="888" spans="2:22">
      <c r="B888" s="39"/>
      <c r="C888" s="39"/>
      <c r="D888" s="39"/>
      <c r="E888" s="39"/>
      <c r="F888" s="40"/>
      <c r="G888" s="38"/>
      <c r="H888" s="43"/>
      <c r="I888" s="43"/>
      <c r="J888" s="39"/>
      <c r="K888" s="38"/>
      <c r="L888" s="39"/>
      <c r="M888" s="39"/>
      <c r="N888" s="43"/>
      <c r="O888" s="38"/>
      <c r="P888" s="38"/>
      <c r="Q888" s="41" t="str">
        <f ca="1">IF(emp_db[[#This Row],[Exit Date]]&lt;&gt;"",(emp_db[[#This Row],[Exit Date]]-emp_db[[#This Row],[Column1]])/365,IF(emp_db[[#This Row],[ID]]&lt;&gt;"",(TODAY()-emp_db[[#This Row],[Column1]])/365,""))</f>
        <v/>
      </c>
      <c r="R888" s="42" t="str">
        <f ca="1">IF(emp_db[[#This Row],[Date of Birth]]&lt;&gt;"",(TODAY()-emp_db[[#This Row],[Date of Birth]])/365,"")</f>
        <v/>
      </c>
      <c r="S888" s="42">
        <f>YEAR(emp_db[[#This Row],[Column1]])</f>
        <v>1900</v>
      </c>
      <c r="T888" s="42">
        <f>MONTH(emp_db[[#This Row],[Column1]])</f>
        <v>1</v>
      </c>
      <c r="U888" s="42">
        <f>IFERROR(YEAR(emp_db[[#This Row],[Exit Date]]),"")</f>
        <v>1900</v>
      </c>
      <c r="V888" s="42">
        <f>IFERROR(MONTH(emp_db[[#This Row],[Exit Date]]),"")</f>
        <v>1</v>
      </c>
    </row>
    <row r="889" spans="2:22">
      <c r="B889" s="39"/>
      <c r="C889" s="39"/>
      <c r="D889" s="39"/>
      <c r="E889" s="39"/>
      <c r="F889" s="40"/>
      <c r="G889" s="38"/>
      <c r="H889" s="43"/>
      <c r="I889" s="43"/>
      <c r="J889" s="39"/>
      <c r="K889" s="38"/>
      <c r="L889" s="39"/>
      <c r="M889" s="39"/>
      <c r="N889" s="43"/>
      <c r="O889" s="38"/>
      <c r="P889" s="38"/>
      <c r="Q889" s="41" t="str">
        <f ca="1">IF(emp_db[[#This Row],[Exit Date]]&lt;&gt;"",(emp_db[[#This Row],[Exit Date]]-emp_db[[#This Row],[Column1]])/365,IF(emp_db[[#This Row],[ID]]&lt;&gt;"",(TODAY()-emp_db[[#This Row],[Column1]])/365,""))</f>
        <v/>
      </c>
      <c r="R889" s="42" t="str">
        <f ca="1">IF(emp_db[[#This Row],[Date of Birth]]&lt;&gt;"",(TODAY()-emp_db[[#This Row],[Date of Birth]])/365,"")</f>
        <v/>
      </c>
      <c r="S889" s="42">
        <f>YEAR(emp_db[[#This Row],[Column1]])</f>
        <v>1900</v>
      </c>
      <c r="T889" s="42">
        <f>MONTH(emp_db[[#This Row],[Column1]])</f>
        <v>1</v>
      </c>
      <c r="U889" s="42">
        <f>IFERROR(YEAR(emp_db[[#This Row],[Exit Date]]),"")</f>
        <v>1900</v>
      </c>
      <c r="V889" s="42">
        <f>IFERROR(MONTH(emp_db[[#This Row],[Exit Date]]),"")</f>
        <v>1</v>
      </c>
    </row>
    <row r="890" spans="2:22">
      <c r="B890" s="39"/>
      <c r="C890" s="39"/>
      <c r="D890" s="39"/>
      <c r="E890" s="39"/>
      <c r="F890" s="40"/>
      <c r="G890" s="38"/>
      <c r="H890" s="43"/>
      <c r="I890" s="43"/>
      <c r="J890" s="39"/>
      <c r="K890" s="38"/>
      <c r="L890" s="39"/>
      <c r="M890" s="39"/>
      <c r="N890" s="43"/>
      <c r="O890" s="38"/>
      <c r="P890" s="38"/>
      <c r="Q890" s="41" t="str">
        <f ca="1">IF(emp_db[[#This Row],[Exit Date]]&lt;&gt;"",(emp_db[[#This Row],[Exit Date]]-emp_db[[#This Row],[Column1]])/365,IF(emp_db[[#This Row],[ID]]&lt;&gt;"",(TODAY()-emp_db[[#This Row],[Column1]])/365,""))</f>
        <v/>
      </c>
      <c r="R890" s="42" t="str">
        <f ca="1">IF(emp_db[[#This Row],[Date of Birth]]&lt;&gt;"",(TODAY()-emp_db[[#This Row],[Date of Birth]])/365,"")</f>
        <v/>
      </c>
      <c r="S890" s="42">
        <f>YEAR(emp_db[[#This Row],[Column1]])</f>
        <v>1900</v>
      </c>
      <c r="T890" s="42">
        <f>MONTH(emp_db[[#This Row],[Column1]])</f>
        <v>1</v>
      </c>
      <c r="U890" s="42">
        <f>IFERROR(YEAR(emp_db[[#This Row],[Exit Date]]),"")</f>
        <v>1900</v>
      </c>
      <c r="V890" s="42">
        <f>IFERROR(MONTH(emp_db[[#This Row],[Exit Date]]),"")</f>
        <v>1</v>
      </c>
    </row>
    <row r="891" spans="2:22">
      <c r="B891" s="39"/>
      <c r="C891" s="39"/>
      <c r="D891" s="39"/>
      <c r="E891" s="39"/>
      <c r="F891" s="40"/>
      <c r="G891" s="38"/>
      <c r="H891" s="43"/>
      <c r="I891" s="43"/>
      <c r="J891" s="39"/>
      <c r="K891" s="38"/>
      <c r="L891" s="39"/>
      <c r="M891" s="39"/>
      <c r="N891" s="43"/>
      <c r="O891" s="38"/>
      <c r="P891" s="38"/>
      <c r="Q891" s="41" t="str">
        <f ca="1">IF(emp_db[[#This Row],[Exit Date]]&lt;&gt;"",(emp_db[[#This Row],[Exit Date]]-emp_db[[#This Row],[Column1]])/365,IF(emp_db[[#This Row],[ID]]&lt;&gt;"",(TODAY()-emp_db[[#This Row],[Column1]])/365,""))</f>
        <v/>
      </c>
      <c r="R891" s="42" t="str">
        <f ca="1">IF(emp_db[[#This Row],[Date of Birth]]&lt;&gt;"",(TODAY()-emp_db[[#This Row],[Date of Birth]])/365,"")</f>
        <v/>
      </c>
      <c r="S891" s="42">
        <f>YEAR(emp_db[[#This Row],[Column1]])</f>
        <v>1900</v>
      </c>
      <c r="T891" s="42">
        <f>MONTH(emp_db[[#This Row],[Column1]])</f>
        <v>1</v>
      </c>
      <c r="U891" s="42">
        <f>IFERROR(YEAR(emp_db[[#This Row],[Exit Date]]),"")</f>
        <v>1900</v>
      </c>
      <c r="V891" s="42">
        <f>IFERROR(MONTH(emp_db[[#This Row],[Exit Date]]),"")</f>
        <v>1</v>
      </c>
    </row>
    <row r="892" spans="2:22">
      <c r="B892" s="39"/>
      <c r="C892" s="39"/>
      <c r="D892" s="39"/>
      <c r="E892" s="39"/>
      <c r="F892" s="40"/>
      <c r="G892" s="38"/>
      <c r="H892" s="43"/>
      <c r="I892" s="43"/>
      <c r="J892" s="39"/>
      <c r="K892" s="38"/>
      <c r="L892" s="39"/>
      <c r="M892" s="39"/>
      <c r="N892" s="43"/>
      <c r="O892" s="38"/>
      <c r="P892" s="38"/>
      <c r="Q892" s="41" t="str">
        <f ca="1">IF(emp_db[[#This Row],[Exit Date]]&lt;&gt;"",(emp_db[[#This Row],[Exit Date]]-emp_db[[#This Row],[Column1]])/365,IF(emp_db[[#This Row],[ID]]&lt;&gt;"",(TODAY()-emp_db[[#This Row],[Column1]])/365,""))</f>
        <v/>
      </c>
      <c r="R892" s="42" t="str">
        <f ca="1">IF(emp_db[[#This Row],[Date of Birth]]&lt;&gt;"",(TODAY()-emp_db[[#This Row],[Date of Birth]])/365,"")</f>
        <v/>
      </c>
      <c r="S892" s="42">
        <f>YEAR(emp_db[[#This Row],[Column1]])</f>
        <v>1900</v>
      </c>
      <c r="T892" s="42">
        <f>MONTH(emp_db[[#This Row],[Column1]])</f>
        <v>1</v>
      </c>
      <c r="U892" s="42">
        <f>IFERROR(YEAR(emp_db[[#This Row],[Exit Date]]),"")</f>
        <v>1900</v>
      </c>
      <c r="V892" s="42">
        <f>IFERROR(MONTH(emp_db[[#This Row],[Exit Date]]),"")</f>
        <v>1</v>
      </c>
    </row>
    <row r="893" spans="2:22">
      <c r="B893" s="39"/>
      <c r="C893" s="39"/>
      <c r="D893" s="39"/>
      <c r="E893" s="39"/>
      <c r="F893" s="40"/>
      <c r="G893" s="38"/>
      <c r="H893" s="43"/>
      <c r="I893" s="43"/>
      <c r="J893" s="39"/>
      <c r="K893" s="38"/>
      <c r="L893" s="39"/>
      <c r="M893" s="39"/>
      <c r="N893" s="43"/>
      <c r="O893" s="38"/>
      <c r="P893" s="38"/>
      <c r="Q893" s="41" t="str">
        <f ca="1">IF(emp_db[[#This Row],[Exit Date]]&lt;&gt;"",(emp_db[[#This Row],[Exit Date]]-emp_db[[#This Row],[Column1]])/365,IF(emp_db[[#This Row],[ID]]&lt;&gt;"",(TODAY()-emp_db[[#This Row],[Column1]])/365,""))</f>
        <v/>
      </c>
      <c r="R893" s="42" t="str">
        <f ca="1">IF(emp_db[[#This Row],[Date of Birth]]&lt;&gt;"",(TODAY()-emp_db[[#This Row],[Date of Birth]])/365,"")</f>
        <v/>
      </c>
      <c r="S893" s="42">
        <f>YEAR(emp_db[[#This Row],[Column1]])</f>
        <v>1900</v>
      </c>
      <c r="T893" s="42">
        <f>MONTH(emp_db[[#This Row],[Column1]])</f>
        <v>1</v>
      </c>
      <c r="U893" s="42">
        <f>IFERROR(YEAR(emp_db[[#This Row],[Exit Date]]),"")</f>
        <v>1900</v>
      </c>
      <c r="V893" s="42">
        <f>IFERROR(MONTH(emp_db[[#This Row],[Exit Date]]),"")</f>
        <v>1</v>
      </c>
    </row>
    <row r="894" spans="2:22">
      <c r="B894" s="39"/>
      <c r="C894" s="39"/>
      <c r="D894" s="39"/>
      <c r="E894" s="39"/>
      <c r="F894" s="40"/>
      <c r="G894" s="38"/>
      <c r="H894" s="43"/>
      <c r="I894" s="43"/>
      <c r="J894" s="39"/>
      <c r="K894" s="38"/>
      <c r="L894" s="39"/>
      <c r="M894" s="39"/>
      <c r="N894" s="43"/>
      <c r="O894" s="38"/>
      <c r="P894" s="38"/>
      <c r="Q894" s="41" t="str">
        <f ca="1">IF(emp_db[[#This Row],[Exit Date]]&lt;&gt;"",(emp_db[[#This Row],[Exit Date]]-emp_db[[#This Row],[Column1]])/365,IF(emp_db[[#This Row],[ID]]&lt;&gt;"",(TODAY()-emp_db[[#This Row],[Column1]])/365,""))</f>
        <v/>
      </c>
      <c r="R894" s="42" t="str">
        <f ca="1">IF(emp_db[[#This Row],[Date of Birth]]&lt;&gt;"",(TODAY()-emp_db[[#This Row],[Date of Birth]])/365,"")</f>
        <v/>
      </c>
      <c r="S894" s="42">
        <f>YEAR(emp_db[[#This Row],[Column1]])</f>
        <v>1900</v>
      </c>
      <c r="T894" s="42">
        <f>MONTH(emp_db[[#This Row],[Column1]])</f>
        <v>1</v>
      </c>
      <c r="U894" s="42">
        <f>IFERROR(YEAR(emp_db[[#This Row],[Exit Date]]),"")</f>
        <v>1900</v>
      </c>
      <c r="V894" s="42">
        <f>IFERROR(MONTH(emp_db[[#This Row],[Exit Date]]),"")</f>
        <v>1</v>
      </c>
    </row>
    <row r="895" spans="2:22">
      <c r="B895" s="39"/>
      <c r="C895" s="39"/>
      <c r="D895" s="39"/>
      <c r="E895" s="39"/>
      <c r="F895" s="40"/>
      <c r="G895" s="38"/>
      <c r="H895" s="43"/>
      <c r="I895" s="43"/>
      <c r="J895" s="39"/>
      <c r="K895" s="38"/>
      <c r="L895" s="39"/>
      <c r="M895" s="39"/>
      <c r="N895" s="43"/>
      <c r="O895" s="38"/>
      <c r="P895" s="38"/>
      <c r="Q895" s="41" t="str">
        <f ca="1">IF(emp_db[[#This Row],[Exit Date]]&lt;&gt;"",(emp_db[[#This Row],[Exit Date]]-emp_db[[#This Row],[Column1]])/365,IF(emp_db[[#This Row],[ID]]&lt;&gt;"",(TODAY()-emp_db[[#This Row],[Column1]])/365,""))</f>
        <v/>
      </c>
      <c r="R895" s="42" t="str">
        <f ca="1">IF(emp_db[[#This Row],[Date of Birth]]&lt;&gt;"",(TODAY()-emp_db[[#This Row],[Date of Birth]])/365,"")</f>
        <v/>
      </c>
      <c r="S895" s="42">
        <f>YEAR(emp_db[[#This Row],[Column1]])</f>
        <v>1900</v>
      </c>
      <c r="T895" s="42">
        <f>MONTH(emp_db[[#This Row],[Column1]])</f>
        <v>1</v>
      </c>
      <c r="U895" s="42">
        <f>IFERROR(YEAR(emp_db[[#This Row],[Exit Date]]),"")</f>
        <v>1900</v>
      </c>
      <c r="V895" s="42">
        <f>IFERROR(MONTH(emp_db[[#This Row],[Exit Date]]),"")</f>
        <v>1</v>
      </c>
    </row>
    <row r="896" spans="2:22">
      <c r="B896" s="39"/>
      <c r="C896" s="39"/>
      <c r="D896" s="39"/>
      <c r="E896" s="39"/>
      <c r="F896" s="40"/>
      <c r="G896" s="38"/>
      <c r="H896" s="43"/>
      <c r="I896" s="43"/>
      <c r="J896" s="39"/>
      <c r="K896" s="38"/>
      <c r="L896" s="39"/>
      <c r="M896" s="39"/>
      <c r="N896" s="43"/>
      <c r="O896" s="38"/>
      <c r="P896" s="38"/>
      <c r="Q896" s="41" t="str">
        <f ca="1">IF(emp_db[[#This Row],[Exit Date]]&lt;&gt;"",(emp_db[[#This Row],[Exit Date]]-emp_db[[#This Row],[Column1]])/365,IF(emp_db[[#This Row],[ID]]&lt;&gt;"",(TODAY()-emp_db[[#This Row],[Column1]])/365,""))</f>
        <v/>
      </c>
      <c r="R896" s="42" t="str">
        <f ca="1">IF(emp_db[[#This Row],[Date of Birth]]&lt;&gt;"",(TODAY()-emp_db[[#This Row],[Date of Birth]])/365,"")</f>
        <v/>
      </c>
      <c r="S896" s="42">
        <f>YEAR(emp_db[[#This Row],[Column1]])</f>
        <v>1900</v>
      </c>
      <c r="T896" s="42">
        <f>MONTH(emp_db[[#This Row],[Column1]])</f>
        <v>1</v>
      </c>
      <c r="U896" s="42">
        <f>IFERROR(YEAR(emp_db[[#This Row],[Exit Date]]),"")</f>
        <v>1900</v>
      </c>
      <c r="V896" s="42">
        <f>IFERROR(MONTH(emp_db[[#This Row],[Exit Date]]),"")</f>
        <v>1</v>
      </c>
    </row>
    <row r="897" spans="2:22">
      <c r="B897" s="39"/>
      <c r="C897" s="39"/>
      <c r="D897" s="39"/>
      <c r="E897" s="39"/>
      <c r="F897" s="40"/>
      <c r="G897" s="38"/>
      <c r="H897" s="43"/>
      <c r="I897" s="43"/>
      <c r="J897" s="39"/>
      <c r="K897" s="38"/>
      <c r="L897" s="39"/>
      <c r="M897" s="39"/>
      <c r="N897" s="43"/>
      <c r="O897" s="38"/>
      <c r="P897" s="38"/>
      <c r="Q897" s="41" t="str">
        <f ca="1">IF(emp_db[[#This Row],[Exit Date]]&lt;&gt;"",(emp_db[[#This Row],[Exit Date]]-emp_db[[#This Row],[Column1]])/365,IF(emp_db[[#This Row],[ID]]&lt;&gt;"",(TODAY()-emp_db[[#This Row],[Column1]])/365,""))</f>
        <v/>
      </c>
      <c r="R897" s="42" t="str">
        <f ca="1">IF(emp_db[[#This Row],[Date of Birth]]&lt;&gt;"",(TODAY()-emp_db[[#This Row],[Date of Birth]])/365,"")</f>
        <v/>
      </c>
      <c r="S897" s="42">
        <f>YEAR(emp_db[[#This Row],[Column1]])</f>
        <v>1900</v>
      </c>
      <c r="T897" s="42">
        <f>MONTH(emp_db[[#This Row],[Column1]])</f>
        <v>1</v>
      </c>
      <c r="U897" s="42">
        <f>IFERROR(YEAR(emp_db[[#This Row],[Exit Date]]),"")</f>
        <v>1900</v>
      </c>
      <c r="V897" s="42">
        <f>IFERROR(MONTH(emp_db[[#This Row],[Exit Date]]),"")</f>
        <v>1</v>
      </c>
    </row>
    <row r="898" spans="2:22">
      <c r="B898" s="39"/>
      <c r="C898" s="39"/>
      <c r="D898" s="39"/>
      <c r="E898" s="39"/>
      <c r="F898" s="40"/>
      <c r="G898" s="38"/>
      <c r="H898" s="43"/>
      <c r="I898" s="43"/>
      <c r="J898" s="39"/>
      <c r="K898" s="38"/>
      <c r="L898" s="39"/>
      <c r="M898" s="39"/>
      <c r="N898" s="43"/>
      <c r="O898" s="38"/>
      <c r="P898" s="38"/>
      <c r="Q898" s="41" t="str">
        <f ca="1">IF(emp_db[[#This Row],[Exit Date]]&lt;&gt;"",(emp_db[[#This Row],[Exit Date]]-emp_db[[#This Row],[Column1]])/365,IF(emp_db[[#This Row],[ID]]&lt;&gt;"",(TODAY()-emp_db[[#This Row],[Column1]])/365,""))</f>
        <v/>
      </c>
      <c r="R898" s="42" t="str">
        <f ca="1">IF(emp_db[[#This Row],[Date of Birth]]&lt;&gt;"",(TODAY()-emp_db[[#This Row],[Date of Birth]])/365,"")</f>
        <v/>
      </c>
      <c r="S898" s="42">
        <f>YEAR(emp_db[[#This Row],[Column1]])</f>
        <v>1900</v>
      </c>
      <c r="T898" s="42">
        <f>MONTH(emp_db[[#This Row],[Column1]])</f>
        <v>1</v>
      </c>
      <c r="U898" s="42">
        <f>IFERROR(YEAR(emp_db[[#This Row],[Exit Date]]),"")</f>
        <v>1900</v>
      </c>
      <c r="V898" s="42">
        <f>IFERROR(MONTH(emp_db[[#This Row],[Exit Date]]),"")</f>
        <v>1</v>
      </c>
    </row>
    <row r="899" spans="2:22">
      <c r="B899" s="39"/>
      <c r="C899" s="39"/>
      <c r="D899" s="39"/>
      <c r="E899" s="39"/>
      <c r="F899" s="40"/>
      <c r="G899" s="38"/>
      <c r="H899" s="43"/>
      <c r="I899" s="43"/>
      <c r="J899" s="39"/>
      <c r="K899" s="38"/>
      <c r="L899" s="39"/>
      <c r="M899" s="39"/>
      <c r="N899" s="43"/>
      <c r="O899" s="38"/>
      <c r="P899" s="38"/>
      <c r="Q899" s="41" t="str">
        <f ca="1">IF(emp_db[[#This Row],[Exit Date]]&lt;&gt;"",(emp_db[[#This Row],[Exit Date]]-emp_db[[#This Row],[Column1]])/365,IF(emp_db[[#This Row],[ID]]&lt;&gt;"",(TODAY()-emp_db[[#This Row],[Column1]])/365,""))</f>
        <v/>
      </c>
      <c r="R899" s="42" t="str">
        <f ca="1">IF(emp_db[[#This Row],[Date of Birth]]&lt;&gt;"",(TODAY()-emp_db[[#This Row],[Date of Birth]])/365,"")</f>
        <v/>
      </c>
      <c r="S899" s="42">
        <f>YEAR(emp_db[[#This Row],[Column1]])</f>
        <v>1900</v>
      </c>
      <c r="T899" s="42">
        <f>MONTH(emp_db[[#This Row],[Column1]])</f>
        <v>1</v>
      </c>
      <c r="U899" s="42">
        <f>IFERROR(YEAR(emp_db[[#This Row],[Exit Date]]),"")</f>
        <v>1900</v>
      </c>
      <c r="V899" s="42">
        <f>IFERROR(MONTH(emp_db[[#This Row],[Exit Date]]),"")</f>
        <v>1</v>
      </c>
    </row>
    <row r="900" spans="2:22">
      <c r="B900" s="39"/>
      <c r="C900" s="39"/>
      <c r="D900" s="39"/>
      <c r="E900" s="39"/>
      <c r="F900" s="40"/>
      <c r="G900" s="38"/>
      <c r="H900" s="43"/>
      <c r="I900" s="43"/>
      <c r="J900" s="39"/>
      <c r="K900" s="38"/>
      <c r="L900" s="39"/>
      <c r="M900" s="39"/>
      <c r="N900" s="43"/>
      <c r="O900" s="38"/>
      <c r="P900" s="38"/>
      <c r="Q900" s="41" t="str">
        <f ca="1">IF(emp_db[[#This Row],[Exit Date]]&lt;&gt;"",(emp_db[[#This Row],[Exit Date]]-emp_db[[#This Row],[Column1]])/365,IF(emp_db[[#This Row],[ID]]&lt;&gt;"",(TODAY()-emp_db[[#This Row],[Column1]])/365,""))</f>
        <v/>
      </c>
      <c r="R900" s="42" t="str">
        <f ca="1">IF(emp_db[[#This Row],[Date of Birth]]&lt;&gt;"",(TODAY()-emp_db[[#This Row],[Date of Birth]])/365,"")</f>
        <v/>
      </c>
      <c r="S900" s="42">
        <f>YEAR(emp_db[[#This Row],[Column1]])</f>
        <v>1900</v>
      </c>
      <c r="T900" s="42">
        <f>MONTH(emp_db[[#This Row],[Column1]])</f>
        <v>1</v>
      </c>
      <c r="U900" s="42">
        <f>IFERROR(YEAR(emp_db[[#This Row],[Exit Date]]),"")</f>
        <v>1900</v>
      </c>
      <c r="V900" s="42">
        <f>IFERROR(MONTH(emp_db[[#This Row],[Exit Date]]),"")</f>
        <v>1</v>
      </c>
    </row>
    <row r="901" spans="2:22">
      <c r="B901" s="39"/>
      <c r="C901" s="39"/>
      <c r="D901" s="39"/>
      <c r="E901" s="39"/>
      <c r="F901" s="40"/>
      <c r="G901" s="38"/>
      <c r="H901" s="43"/>
      <c r="I901" s="43"/>
      <c r="J901" s="39"/>
      <c r="K901" s="38"/>
      <c r="L901" s="39"/>
      <c r="M901" s="39"/>
      <c r="N901" s="43"/>
      <c r="O901" s="38"/>
      <c r="P901" s="38"/>
      <c r="Q901" s="41" t="str">
        <f ca="1">IF(emp_db[[#This Row],[Exit Date]]&lt;&gt;"",(emp_db[[#This Row],[Exit Date]]-emp_db[[#This Row],[Column1]])/365,IF(emp_db[[#This Row],[ID]]&lt;&gt;"",(TODAY()-emp_db[[#This Row],[Column1]])/365,""))</f>
        <v/>
      </c>
      <c r="R901" s="42" t="str">
        <f ca="1">IF(emp_db[[#This Row],[Date of Birth]]&lt;&gt;"",(TODAY()-emp_db[[#This Row],[Date of Birth]])/365,"")</f>
        <v/>
      </c>
      <c r="S901" s="42">
        <f>YEAR(emp_db[[#This Row],[Column1]])</f>
        <v>1900</v>
      </c>
      <c r="T901" s="42">
        <f>MONTH(emp_db[[#This Row],[Column1]])</f>
        <v>1</v>
      </c>
      <c r="U901" s="42">
        <f>IFERROR(YEAR(emp_db[[#This Row],[Exit Date]]),"")</f>
        <v>1900</v>
      </c>
      <c r="V901" s="42">
        <f>IFERROR(MONTH(emp_db[[#This Row],[Exit Date]]),"")</f>
        <v>1</v>
      </c>
    </row>
    <row r="902" spans="2:22">
      <c r="B902" s="39"/>
      <c r="C902" s="39"/>
      <c r="D902" s="39"/>
      <c r="E902" s="39"/>
      <c r="F902" s="40"/>
      <c r="G902" s="38"/>
      <c r="H902" s="43"/>
      <c r="I902" s="43"/>
      <c r="J902" s="39"/>
      <c r="K902" s="38"/>
      <c r="L902" s="39"/>
      <c r="M902" s="39"/>
      <c r="N902" s="43"/>
      <c r="O902" s="38"/>
      <c r="P902" s="38"/>
      <c r="Q902" s="41" t="str">
        <f ca="1">IF(emp_db[[#This Row],[Exit Date]]&lt;&gt;"",(emp_db[[#This Row],[Exit Date]]-emp_db[[#This Row],[Column1]])/365,IF(emp_db[[#This Row],[ID]]&lt;&gt;"",(TODAY()-emp_db[[#This Row],[Column1]])/365,""))</f>
        <v/>
      </c>
      <c r="R902" s="42" t="str">
        <f ca="1">IF(emp_db[[#This Row],[Date of Birth]]&lt;&gt;"",(TODAY()-emp_db[[#This Row],[Date of Birth]])/365,"")</f>
        <v/>
      </c>
      <c r="S902" s="42">
        <f>YEAR(emp_db[[#This Row],[Column1]])</f>
        <v>1900</v>
      </c>
      <c r="T902" s="42">
        <f>MONTH(emp_db[[#This Row],[Column1]])</f>
        <v>1</v>
      </c>
      <c r="U902" s="42">
        <f>IFERROR(YEAR(emp_db[[#This Row],[Exit Date]]),"")</f>
        <v>1900</v>
      </c>
      <c r="V902" s="42">
        <f>IFERROR(MONTH(emp_db[[#This Row],[Exit Date]]),"")</f>
        <v>1</v>
      </c>
    </row>
    <row r="903" spans="2:22">
      <c r="B903" s="39"/>
      <c r="C903" s="39"/>
      <c r="D903" s="39"/>
      <c r="E903" s="39"/>
      <c r="F903" s="40"/>
      <c r="G903" s="38"/>
      <c r="H903" s="43"/>
      <c r="I903" s="43"/>
      <c r="J903" s="39"/>
      <c r="K903" s="38"/>
      <c r="L903" s="39"/>
      <c r="M903" s="39"/>
      <c r="N903" s="43"/>
      <c r="O903" s="38"/>
      <c r="P903" s="38"/>
      <c r="Q903" s="41" t="str">
        <f ca="1">IF(emp_db[[#This Row],[Exit Date]]&lt;&gt;"",(emp_db[[#This Row],[Exit Date]]-emp_db[[#This Row],[Column1]])/365,IF(emp_db[[#This Row],[ID]]&lt;&gt;"",(TODAY()-emp_db[[#This Row],[Column1]])/365,""))</f>
        <v/>
      </c>
      <c r="R903" s="42" t="str">
        <f ca="1">IF(emp_db[[#This Row],[Date of Birth]]&lt;&gt;"",(TODAY()-emp_db[[#This Row],[Date of Birth]])/365,"")</f>
        <v/>
      </c>
      <c r="S903" s="42">
        <f>YEAR(emp_db[[#This Row],[Column1]])</f>
        <v>1900</v>
      </c>
      <c r="T903" s="42">
        <f>MONTH(emp_db[[#This Row],[Column1]])</f>
        <v>1</v>
      </c>
      <c r="U903" s="42">
        <f>IFERROR(YEAR(emp_db[[#This Row],[Exit Date]]),"")</f>
        <v>1900</v>
      </c>
      <c r="V903" s="42">
        <f>IFERROR(MONTH(emp_db[[#This Row],[Exit Date]]),"")</f>
        <v>1</v>
      </c>
    </row>
    <row r="904" spans="2:22">
      <c r="B904" s="39"/>
      <c r="C904" s="39"/>
      <c r="D904" s="39"/>
      <c r="E904" s="39"/>
      <c r="F904" s="40"/>
      <c r="G904" s="38"/>
      <c r="H904" s="43"/>
      <c r="I904" s="43"/>
      <c r="J904" s="39"/>
      <c r="K904" s="38"/>
      <c r="L904" s="39"/>
      <c r="M904" s="39"/>
      <c r="N904" s="43"/>
      <c r="O904" s="38"/>
      <c r="P904" s="38"/>
      <c r="Q904" s="41" t="str">
        <f ca="1">IF(emp_db[[#This Row],[Exit Date]]&lt;&gt;"",(emp_db[[#This Row],[Exit Date]]-emp_db[[#This Row],[Column1]])/365,IF(emp_db[[#This Row],[ID]]&lt;&gt;"",(TODAY()-emp_db[[#This Row],[Column1]])/365,""))</f>
        <v/>
      </c>
      <c r="R904" s="42" t="str">
        <f ca="1">IF(emp_db[[#This Row],[Date of Birth]]&lt;&gt;"",(TODAY()-emp_db[[#This Row],[Date of Birth]])/365,"")</f>
        <v/>
      </c>
      <c r="S904" s="42">
        <f>YEAR(emp_db[[#This Row],[Column1]])</f>
        <v>1900</v>
      </c>
      <c r="T904" s="42">
        <f>MONTH(emp_db[[#This Row],[Column1]])</f>
        <v>1</v>
      </c>
      <c r="U904" s="42">
        <f>IFERROR(YEAR(emp_db[[#This Row],[Exit Date]]),"")</f>
        <v>1900</v>
      </c>
      <c r="V904" s="42">
        <f>IFERROR(MONTH(emp_db[[#This Row],[Exit Date]]),"")</f>
        <v>1</v>
      </c>
    </row>
    <row r="905" spans="2:22">
      <c r="B905" s="39"/>
      <c r="C905" s="39"/>
      <c r="D905" s="39"/>
      <c r="E905" s="39"/>
      <c r="F905" s="40"/>
      <c r="G905" s="38"/>
      <c r="H905" s="43"/>
      <c r="I905" s="43"/>
      <c r="J905" s="39"/>
      <c r="K905" s="38"/>
      <c r="L905" s="39"/>
      <c r="M905" s="39"/>
      <c r="N905" s="43"/>
      <c r="O905" s="38"/>
      <c r="P905" s="38"/>
      <c r="Q905" s="41" t="str">
        <f ca="1">IF(emp_db[[#This Row],[Exit Date]]&lt;&gt;"",(emp_db[[#This Row],[Exit Date]]-emp_db[[#This Row],[Column1]])/365,IF(emp_db[[#This Row],[ID]]&lt;&gt;"",(TODAY()-emp_db[[#This Row],[Column1]])/365,""))</f>
        <v/>
      </c>
      <c r="R905" s="42" t="str">
        <f ca="1">IF(emp_db[[#This Row],[Date of Birth]]&lt;&gt;"",(TODAY()-emp_db[[#This Row],[Date of Birth]])/365,"")</f>
        <v/>
      </c>
      <c r="S905" s="42">
        <f>YEAR(emp_db[[#This Row],[Column1]])</f>
        <v>1900</v>
      </c>
      <c r="T905" s="42">
        <f>MONTH(emp_db[[#This Row],[Column1]])</f>
        <v>1</v>
      </c>
      <c r="U905" s="42">
        <f>IFERROR(YEAR(emp_db[[#This Row],[Exit Date]]),"")</f>
        <v>1900</v>
      </c>
      <c r="V905" s="42">
        <f>IFERROR(MONTH(emp_db[[#This Row],[Exit Date]]),"")</f>
        <v>1</v>
      </c>
    </row>
    <row r="906" spans="2:22">
      <c r="B906" s="39"/>
      <c r="C906" s="39"/>
      <c r="D906" s="39"/>
      <c r="E906" s="39"/>
      <c r="F906" s="40"/>
      <c r="G906" s="38"/>
      <c r="H906" s="43"/>
      <c r="I906" s="43"/>
      <c r="J906" s="39"/>
      <c r="K906" s="38"/>
      <c r="L906" s="39"/>
      <c r="M906" s="39"/>
      <c r="N906" s="43"/>
      <c r="O906" s="38"/>
      <c r="P906" s="38"/>
      <c r="Q906" s="41" t="str">
        <f ca="1">IF(emp_db[[#This Row],[Exit Date]]&lt;&gt;"",(emp_db[[#This Row],[Exit Date]]-emp_db[[#This Row],[Column1]])/365,IF(emp_db[[#This Row],[ID]]&lt;&gt;"",(TODAY()-emp_db[[#This Row],[Column1]])/365,""))</f>
        <v/>
      </c>
      <c r="R906" s="42" t="str">
        <f ca="1">IF(emp_db[[#This Row],[Date of Birth]]&lt;&gt;"",(TODAY()-emp_db[[#This Row],[Date of Birth]])/365,"")</f>
        <v/>
      </c>
      <c r="S906" s="42">
        <f>YEAR(emp_db[[#This Row],[Column1]])</f>
        <v>1900</v>
      </c>
      <c r="T906" s="42">
        <f>MONTH(emp_db[[#This Row],[Column1]])</f>
        <v>1</v>
      </c>
      <c r="U906" s="42">
        <f>IFERROR(YEAR(emp_db[[#This Row],[Exit Date]]),"")</f>
        <v>1900</v>
      </c>
      <c r="V906" s="42">
        <f>IFERROR(MONTH(emp_db[[#This Row],[Exit Date]]),"")</f>
        <v>1</v>
      </c>
    </row>
    <row r="907" spans="2:22">
      <c r="B907" s="39"/>
      <c r="C907" s="39"/>
      <c r="D907" s="39"/>
      <c r="E907" s="39"/>
      <c r="F907" s="40"/>
      <c r="G907" s="38"/>
      <c r="H907" s="43"/>
      <c r="I907" s="43"/>
      <c r="J907" s="39"/>
      <c r="K907" s="38"/>
      <c r="L907" s="39"/>
      <c r="M907" s="39"/>
      <c r="N907" s="43"/>
      <c r="O907" s="38"/>
      <c r="P907" s="38"/>
      <c r="Q907" s="41" t="str">
        <f ca="1">IF(emp_db[[#This Row],[Exit Date]]&lt;&gt;"",(emp_db[[#This Row],[Exit Date]]-emp_db[[#This Row],[Column1]])/365,IF(emp_db[[#This Row],[ID]]&lt;&gt;"",(TODAY()-emp_db[[#This Row],[Column1]])/365,""))</f>
        <v/>
      </c>
      <c r="R907" s="42" t="str">
        <f ca="1">IF(emp_db[[#This Row],[Date of Birth]]&lt;&gt;"",(TODAY()-emp_db[[#This Row],[Date of Birth]])/365,"")</f>
        <v/>
      </c>
      <c r="S907" s="42">
        <f>YEAR(emp_db[[#This Row],[Column1]])</f>
        <v>1900</v>
      </c>
      <c r="T907" s="42">
        <f>MONTH(emp_db[[#This Row],[Column1]])</f>
        <v>1</v>
      </c>
      <c r="U907" s="42">
        <f>IFERROR(YEAR(emp_db[[#This Row],[Exit Date]]),"")</f>
        <v>1900</v>
      </c>
      <c r="V907" s="42">
        <f>IFERROR(MONTH(emp_db[[#This Row],[Exit Date]]),"")</f>
        <v>1</v>
      </c>
    </row>
    <row r="908" spans="2:22">
      <c r="B908" s="39"/>
      <c r="C908" s="39"/>
      <c r="D908" s="39"/>
      <c r="E908" s="39"/>
      <c r="F908" s="40"/>
      <c r="G908" s="38"/>
      <c r="H908" s="43"/>
      <c r="I908" s="43"/>
      <c r="J908" s="39"/>
      <c r="K908" s="38"/>
      <c r="L908" s="39"/>
      <c r="M908" s="39"/>
      <c r="N908" s="43"/>
      <c r="O908" s="38"/>
      <c r="P908" s="38"/>
      <c r="Q908" s="41" t="str">
        <f ca="1">IF(emp_db[[#This Row],[Exit Date]]&lt;&gt;"",(emp_db[[#This Row],[Exit Date]]-emp_db[[#This Row],[Column1]])/365,IF(emp_db[[#This Row],[ID]]&lt;&gt;"",(TODAY()-emp_db[[#This Row],[Column1]])/365,""))</f>
        <v/>
      </c>
      <c r="R908" s="42" t="str">
        <f ca="1">IF(emp_db[[#This Row],[Date of Birth]]&lt;&gt;"",(TODAY()-emp_db[[#This Row],[Date of Birth]])/365,"")</f>
        <v/>
      </c>
      <c r="S908" s="42">
        <f>YEAR(emp_db[[#This Row],[Column1]])</f>
        <v>1900</v>
      </c>
      <c r="T908" s="42">
        <f>MONTH(emp_db[[#This Row],[Column1]])</f>
        <v>1</v>
      </c>
      <c r="U908" s="42">
        <f>IFERROR(YEAR(emp_db[[#This Row],[Exit Date]]),"")</f>
        <v>1900</v>
      </c>
      <c r="V908" s="42">
        <f>IFERROR(MONTH(emp_db[[#This Row],[Exit Date]]),"")</f>
        <v>1</v>
      </c>
    </row>
    <row r="909" spans="2:22">
      <c r="B909" s="39"/>
      <c r="C909" s="39"/>
      <c r="D909" s="39"/>
      <c r="E909" s="39"/>
      <c r="F909" s="40"/>
      <c r="G909" s="38"/>
      <c r="H909" s="43"/>
      <c r="I909" s="43"/>
      <c r="J909" s="39"/>
      <c r="K909" s="38"/>
      <c r="L909" s="39"/>
      <c r="M909" s="39"/>
      <c r="N909" s="43"/>
      <c r="O909" s="38"/>
      <c r="P909" s="38"/>
      <c r="Q909" s="41" t="str">
        <f ca="1">IF(emp_db[[#This Row],[Exit Date]]&lt;&gt;"",(emp_db[[#This Row],[Exit Date]]-emp_db[[#This Row],[Column1]])/365,IF(emp_db[[#This Row],[ID]]&lt;&gt;"",(TODAY()-emp_db[[#This Row],[Column1]])/365,""))</f>
        <v/>
      </c>
      <c r="R909" s="42" t="str">
        <f ca="1">IF(emp_db[[#This Row],[Date of Birth]]&lt;&gt;"",(TODAY()-emp_db[[#This Row],[Date of Birth]])/365,"")</f>
        <v/>
      </c>
      <c r="S909" s="42">
        <f>YEAR(emp_db[[#This Row],[Column1]])</f>
        <v>1900</v>
      </c>
      <c r="T909" s="42">
        <f>MONTH(emp_db[[#This Row],[Column1]])</f>
        <v>1</v>
      </c>
      <c r="U909" s="42">
        <f>IFERROR(YEAR(emp_db[[#This Row],[Exit Date]]),"")</f>
        <v>1900</v>
      </c>
      <c r="V909" s="42">
        <f>IFERROR(MONTH(emp_db[[#This Row],[Exit Date]]),"")</f>
        <v>1</v>
      </c>
    </row>
    <row r="910" spans="2:22">
      <c r="B910" s="39"/>
      <c r="C910" s="39"/>
      <c r="D910" s="39"/>
      <c r="E910" s="39"/>
      <c r="F910" s="40"/>
      <c r="G910" s="38"/>
      <c r="H910" s="43"/>
      <c r="I910" s="43"/>
      <c r="J910" s="39"/>
      <c r="K910" s="38"/>
      <c r="L910" s="39"/>
      <c r="M910" s="39"/>
      <c r="N910" s="43"/>
      <c r="O910" s="38"/>
      <c r="P910" s="38"/>
      <c r="Q910" s="41" t="str">
        <f ca="1">IF(emp_db[[#This Row],[Exit Date]]&lt;&gt;"",(emp_db[[#This Row],[Exit Date]]-emp_db[[#This Row],[Column1]])/365,IF(emp_db[[#This Row],[ID]]&lt;&gt;"",(TODAY()-emp_db[[#This Row],[Column1]])/365,""))</f>
        <v/>
      </c>
      <c r="R910" s="42" t="str">
        <f ca="1">IF(emp_db[[#This Row],[Date of Birth]]&lt;&gt;"",(TODAY()-emp_db[[#This Row],[Date of Birth]])/365,"")</f>
        <v/>
      </c>
      <c r="S910" s="42">
        <f>YEAR(emp_db[[#This Row],[Column1]])</f>
        <v>1900</v>
      </c>
      <c r="T910" s="42">
        <f>MONTH(emp_db[[#This Row],[Column1]])</f>
        <v>1</v>
      </c>
      <c r="U910" s="42">
        <f>IFERROR(YEAR(emp_db[[#This Row],[Exit Date]]),"")</f>
        <v>1900</v>
      </c>
      <c r="V910" s="42">
        <f>IFERROR(MONTH(emp_db[[#This Row],[Exit Date]]),"")</f>
        <v>1</v>
      </c>
    </row>
    <row r="911" spans="2:22">
      <c r="B911" s="39"/>
      <c r="C911" s="39"/>
      <c r="D911" s="39"/>
      <c r="E911" s="39"/>
      <c r="F911" s="40"/>
      <c r="G911" s="38"/>
      <c r="H911" s="43"/>
      <c r="I911" s="43"/>
      <c r="J911" s="39"/>
      <c r="K911" s="38"/>
      <c r="L911" s="39"/>
      <c r="M911" s="39"/>
      <c r="N911" s="43"/>
      <c r="O911" s="38"/>
      <c r="P911" s="38"/>
      <c r="Q911" s="41" t="str">
        <f ca="1">IF(emp_db[[#This Row],[Exit Date]]&lt;&gt;"",(emp_db[[#This Row],[Exit Date]]-emp_db[[#This Row],[Column1]])/365,IF(emp_db[[#This Row],[ID]]&lt;&gt;"",(TODAY()-emp_db[[#This Row],[Column1]])/365,""))</f>
        <v/>
      </c>
      <c r="R911" s="42" t="str">
        <f ca="1">IF(emp_db[[#This Row],[Date of Birth]]&lt;&gt;"",(TODAY()-emp_db[[#This Row],[Date of Birth]])/365,"")</f>
        <v/>
      </c>
      <c r="S911" s="42">
        <f>YEAR(emp_db[[#This Row],[Column1]])</f>
        <v>1900</v>
      </c>
      <c r="T911" s="42">
        <f>MONTH(emp_db[[#This Row],[Column1]])</f>
        <v>1</v>
      </c>
      <c r="U911" s="42">
        <f>IFERROR(YEAR(emp_db[[#This Row],[Exit Date]]),"")</f>
        <v>1900</v>
      </c>
      <c r="V911" s="42">
        <f>IFERROR(MONTH(emp_db[[#This Row],[Exit Date]]),"")</f>
        <v>1</v>
      </c>
    </row>
    <row r="912" spans="2:22">
      <c r="B912" s="39"/>
      <c r="C912" s="39"/>
      <c r="D912" s="39"/>
      <c r="E912" s="39"/>
      <c r="F912" s="40"/>
      <c r="G912" s="38"/>
      <c r="H912" s="43"/>
      <c r="I912" s="43"/>
      <c r="J912" s="39"/>
      <c r="K912" s="38"/>
      <c r="L912" s="39"/>
      <c r="M912" s="39"/>
      <c r="N912" s="43"/>
      <c r="O912" s="38"/>
      <c r="P912" s="38"/>
      <c r="Q912" s="41" t="str">
        <f ca="1">IF(emp_db[[#This Row],[Exit Date]]&lt;&gt;"",(emp_db[[#This Row],[Exit Date]]-emp_db[[#This Row],[Column1]])/365,IF(emp_db[[#This Row],[ID]]&lt;&gt;"",(TODAY()-emp_db[[#This Row],[Column1]])/365,""))</f>
        <v/>
      </c>
      <c r="R912" s="42" t="str">
        <f ca="1">IF(emp_db[[#This Row],[Date of Birth]]&lt;&gt;"",(TODAY()-emp_db[[#This Row],[Date of Birth]])/365,"")</f>
        <v/>
      </c>
      <c r="S912" s="42">
        <f>YEAR(emp_db[[#This Row],[Column1]])</f>
        <v>1900</v>
      </c>
      <c r="T912" s="42">
        <f>MONTH(emp_db[[#This Row],[Column1]])</f>
        <v>1</v>
      </c>
      <c r="U912" s="42">
        <f>IFERROR(YEAR(emp_db[[#This Row],[Exit Date]]),"")</f>
        <v>1900</v>
      </c>
      <c r="V912" s="42">
        <f>IFERROR(MONTH(emp_db[[#This Row],[Exit Date]]),"")</f>
        <v>1</v>
      </c>
    </row>
    <row r="913" spans="2:22">
      <c r="B913" s="39"/>
      <c r="C913" s="39"/>
      <c r="D913" s="39"/>
      <c r="E913" s="39"/>
      <c r="F913" s="40"/>
      <c r="G913" s="38"/>
      <c r="H913" s="43"/>
      <c r="I913" s="43"/>
      <c r="J913" s="39"/>
      <c r="K913" s="38"/>
      <c r="L913" s="39"/>
      <c r="M913" s="39"/>
      <c r="N913" s="43"/>
      <c r="O913" s="38"/>
      <c r="P913" s="38"/>
      <c r="Q913" s="41" t="str">
        <f ca="1">IF(emp_db[[#This Row],[Exit Date]]&lt;&gt;"",(emp_db[[#This Row],[Exit Date]]-emp_db[[#This Row],[Column1]])/365,IF(emp_db[[#This Row],[ID]]&lt;&gt;"",(TODAY()-emp_db[[#This Row],[Column1]])/365,""))</f>
        <v/>
      </c>
      <c r="R913" s="42" t="str">
        <f ca="1">IF(emp_db[[#This Row],[Date of Birth]]&lt;&gt;"",(TODAY()-emp_db[[#This Row],[Date of Birth]])/365,"")</f>
        <v/>
      </c>
      <c r="S913" s="42">
        <f>YEAR(emp_db[[#This Row],[Column1]])</f>
        <v>1900</v>
      </c>
      <c r="T913" s="42">
        <f>MONTH(emp_db[[#This Row],[Column1]])</f>
        <v>1</v>
      </c>
      <c r="U913" s="42">
        <f>IFERROR(YEAR(emp_db[[#This Row],[Exit Date]]),"")</f>
        <v>1900</v>
      </c>
      <c r="V913" s="42">
        <f>IFERROR(MONTH(emp_db[[#This Row],[Exit Date]]),"")</f>
        <v>1</v>
      </c>
    </row>
    <row r="914" spans="2:22">
      <c r="B914" s="39"/>
      <c r="C914" s="39"/>
      <c r="D914" s="39"/>
      <c r="E914" s="39"/>
      <c r="F914" s="40"/>
      <c r="G914" s="38"/>
      <c r="H914" s="43"/>
      <c r="I914" s="43"/>
      <c r="J914" s="39"/>
      <c r="K914" s="38"/>
      <c r="L914" s="39"/>
      <c r="M914" s="39"/>
      <c r="N914" s="43"/>
      <c r="O914" s="38"/>
      <c r="P914" s="38"/>
      <c r="Q914" s="41" t="str">
        <f ca="1">IF(emp_db[[#This Row],[Exit Date]]&lt;&gt;"",(emp_db[[#This Row],[Exit Date]]-emp_db[[#This Row],[Column1]])/365,IF(emp_db[[#This Row],[ID]]&lt;&gt;"",(TODAY()-emp_db[[#This Row],[Column1]])/365,""))</f>
        <v/>
      </c>
      <c r="R914" s="42" t="str">
        <f ca="1">IF(emp_db[[#This Row],[Date of Birth]]&lt;&gt;"",(TODAY()-emp_db[[#This Row],[Date of Birth]])/365,"")</f>
        <v/>
      </c>
      <c r="S914" s="42">
        <f>YEAR(emp_db[[#This Row],[Column1]])</f>
        <v>1900</v>
      </c>
      <c r="T914" s="42">
        <f>MONTH(emp_db[[#This Row],[Column1]])</f>
        <v>1</v>
      </c>
      <c r="U914" s="42">
        <f>IFERROR(YEAR(emp_db[[#This Row],[Exit Date]]),"")</f>
        <v>1900</v>
      </c>
      <c r="V914" s="42">
        <f>IFERROR(MONTH(emp_db[[#This Row],[Exit Date]]),"")</f>
        <v>1</v>
      </c>
    </row>
    <row r="915" spans="2:22">
      <c r="B915" s="39"/>
      <c r="C915" s="39"/>
      <c r="D915" s="39"/>
      <c r="E915" s="39"/>
      <c r="F915" s="40"/>
      <c r="G915" s="38"/>
      <c r="H915" s="43"/>
      <c r="I915" s="43"/>
      <c r="J915" s="39"/>
      <c r="K915" s="38"/>
      <c r="L915" s="39"/>
      <c r="M915" s="39"/>
      <c r="N915" s="43"/>
      <c r="O915" s="38"/>
      <c r="P915" s="38"/>
      <c r="Q915" s="41" t="str">
        <f ca="1">IF(emp_db[[#This Row],[Exit Date]]&lt;&gt;"",(emp_db[[#This Row],[Exit Date]]-emp_db[[#This Row],[Column1]])/365,IF(emp_db[[#This Row],[ID]]&lt;&gt;"",(TODAY()-emp_db[[#This Row],[Column1]])/365,""))</f>
        <v/>
      </c>
      <c r="R915" s="42" t="str">
        <f ca="1">IF(emp_db[[#This Row],[Date of Birth]]&lt;&gt;"",(TODAY()-emp_db[[#This Row],[Date of Birth]])/365,"")</f>
        <v/>
      </c>
      <c r="S915" s="42">
        <f>YEAR(emp_db[[#This Row],[Column1]])</f>
        <v>1900</v>
      </c>
      <c r="T915" s="42">
        <f>MONTH(emp_db[[#This Row],[Column1]])</f>
        <v>1</v>
      </c>
      <c r="U915" s="42">
        <f>IFERROR(YEAR(emp_db[[#This Row],[Exit Date]]),"")</f>
        <v>1900</v>
      </c>
      <c r="V915" s="42">
        <f>IFERROR(MONTH(emp_db[[#This Row],[Exit Date]]),"")</f>
        <v>1</v>
      </c>
    </row>
    <row r="916" spans="2:22">
      <c r="B916" s="39"/>
      <c r="C916" s="39"/>
      <c r="D916" s="39"/>
      <c r="E916" s="39"/>
      <c r="F916" s="40"/>
      <c r="G916" s="38"/>
      <c r="H916" s="43"/>
      <c r="I916" s="43"/>
      <c r="J916" s="39"/>
      <c r="K916" s="38"/>
      <c r="L916" s="39"/>
      <c r="M916" s="39"/>
      <c r="N916" s="43"/>
      <c r="O916" s="38"/>
      <c r="P916" s="38"/>
      <c r="Q916" s="41" t="str">
        <f ca="1">IF(emp_db[[#This Row],[Exit Date]]&lt;&gt;"",(emp_db[[#This Row],[Exit Date]]-emp_db[[#This Row],[Column1]])/365,IF(emp_db[[#This Row],[ID]]&lt;&gt;"",(TODAY()-emp_db[[#This Row],[Column1]])/365,""))</f>
        <v/>
      </c>
      <c r="R916" s="42" t="str">
        <f ca="1">IF(emp_db[[#This Row],[Date of Birth]]&lt;&gt;"",(TODAY()-emp_db[[#This Row],[Date of Birth]])/365,"")</f>
        <v/>
      </c>
      <c r="S916" s="42">
        <f>YEAR(emp_db[[#This Row],[Column1]])</f>
        <v>1900</v>
      </c>
      <c r="T916" s="42">
        <f>MONTH(emp_db[[#This Row],[Column1]])</f>
        <v>1</v>
      </c>
      <c r="U916" s="42">
        <f>IFERROR(YEAR(emp_db[[#This Row],[Exit Date]]),"")</f>
        <v>1900</v>
      </c>
      <c r="V916" s="42">
        <f>IFERROR(MONTH(emp_db[[#This Row],[Exit Date]]),"")</f>
        <v>1</v>
      </c>
    </row>
    <row r="917" spans="2:22">
      <c r="B917" s="39"/>
      <c r="C917" s="39"/>
      <c r="D917" s="39"/>
      <c r="E917" s="39"/>
      <c r="F917" s="40"/>
      <c r="G917" s="38"/>
      <c r="H917" s="43"/>
      <c r="I917" s="43"/>
      <c r="J917" s="39"/>
      <c r="K917" s="38"/>
      <c r="L917" s="39"/>
      <c r="M917" s="39"/>
      <c r="N917" s="43"/>
      <c r="O917" s="38"/>
      <c r="P917" s="38"/>
      <c r="Q917" s="41" t="str">
        <f ca="1">IF(emp_db[[#This Row],[Exit Date]]&lt;&gt;"",(emp_db[[#This Row],[Exit Date]]-emp_db[[#This Row],[Column1]])/365,IF(emp_db[[#This Row],[ID]]&lt;&gt;"",(TODAY()-emp_db[[#This Row],[Column1]])/365,""))</f>
        <v/>
      </c>
      <c r="R917" s="42" t="str">
        <f ca="1">IF(emp_db[[#This Row],[Date of Birth]]&lt;&gt;"",(TODAY()-emp_db[[#This Row],[Date of Birth]])/365,"")</f>
        <v/>
      </c>
      <c r="S917" s="42">
        <f>YEAR(emp_db[[#This Row],[Column1]])</f>
        <v>1900</v>
      </c>
      <c r="T917" s="42">
        <f>MONTH(emp_db[[#This Row],[Column1]])</f>
        <v>1</v>
      </c>
      <c r="U917" s="42">
        <f>IFERROR(YEAR(emp_db[[#This Row],[Exit Date]]),"")</f>
        <v>1900</v>
      </c>
      <c r="V917" s="42">
        <f>IFERROR(MONTH(emp_db[[#This Row],[Exit Date]]),"")</f>
        <v>1</v>
      </c>
    </row>
    <row r="918" spans="2:22">
      <c r="B918" s="39"/>
      <c r="C918" s="39"/>
      <c r="D918" s="39"/>
      <c r="E918" s="39"/>
      <c r="F918" s="40"/>
      <c r="G918" s="38"/>
      <c r="H918" s="43"/>
      <c r="I918" s="43"/>
      <c r="J918" s="39"/>
      <c r="K918" s="38"/>
      <c r="L918" s="39"/>
      <c r="M918" s="39"/>
      <c r="N918" s="43"/>
      <c r="O918" s="38"/>
      <c r="P918" s="38"/>
      <c r="Q918" s="41" t="str">
        <f ca="1">IF(emp_db[[#This Row],[Exit Date]]&lt;&gt;"",(emp_db[[#This Row],[Exit Date]]-emp_db[[#This Row],[Column1]])/365,IF(emp_db[[#This Row],[ID]]&lt;&gt;"",(TODAY()-emp_db[[#This Row],[Column1]])/365,""))</f>
        <v/>
      </c>
      <c r="R918" s="42" t="str">
        <f ca="1">IF(emp_db[[#This Row],[Date of Birth]]&lt;&gt;"",(TODAY()-emp_db[[#This Row],[Date of Birth]])/365,"")</f>
        <v/>
      </c>
      <c r="S918" s="42">
        <f>YEAR(emp_db[[#This Row],[Column1]])</f>
        <v>1900</v>
      </c>
      <c r="T918" s="42">
        <f>MONTH(emp_db[[#This Row],[Column1]])</f>
        <v>1</v>
      </c>
      <c r="U918" s="42">
        <f>IFERROR(YEAR(emp_db[[#This Row],[Exit Date]]),"")</f>
        <v>1900</v>
      </c>
      <c r="V918" s="42">
        <f>IFERROR(MONTH(emp_db[[#This Row],[Exit Date]]),"")</f>
        <v>1</v>
      </c>
    </row>
    <row r="919" spans="2:22">
      <c r="B919" s="39"/>
      <c r="C919" s="39"/>
      <c r="D919" s="39"/>
      <c r="E919" s="39"/>
      <c r="F919" s="40"/>
      <c r="G919" s="38"/>
      <c r="H919" s="43"/>
      <c r="I919" s="43"/>
      <c r="J919" s="39"/>
      <c r="K919" s="38"/>
      <c r="L919" s="39"/>
      <c r="M919" s="39"/>
      <c r="N919" s="43"/>
      <c r="O919" s="38"/>
      <c r="P919" s="38"/>
      <c r="Q919" s="41" t="str">
        <f ca="1">IF(emp_db[[#This Row],[Exit Date]]&lt;&gt;"",(emp_db[[#This Row],[Exit Date]]-emp_db[[#This Row],[Column1]])/365,IF(emp_db[[#This Row],[ID]]&lt;&gt;"",(TODAY()-emp_db[[#This Row],[Column1]])/365,""))</f>
        <v/>
      </c>
      <c r="R919" s="42" t="str">
        <f ca="1">IF(emp_db[[#This Row],[Date of Birth]]&lt;&gt;"",(TODAY()-emp_db[[#This Row],[Date of Birth]])/365,"")</f>
        <v/>
      </c>
      <c r="S919" s="42">
        <f>YEAR(emp_db[[#This Row],[Column1]])</f>
        <v>1900</v>
      </c>
      <c r="T919" s="42">
        <f>MONTH(emp_db[[#This Row],[Column1]])</f>
        <v>1</v>
      </c>
      <c r="U919" s="42">
        <f>IFERROR(YEAR(emp_db[[#This Row],[Exit Date]]),"")</f>
        <v>1900</v>
      </c>
      <c r="V919" s="42">
        <f>IFERROR(MONTH(emp_db[[#This Row],[Exit Date]]),"")</f>
        <v>1</v>
      </c>
    </row>
    <row r="920" spans="2:22">
      <c r="B920" s="39"/>
      <c r="C920" s="39"/>
      <c r="D920" s="39"/>
      <c r="E920" s="39"/>
      <c r="F920" s="40"/>
      <c r="G920" s="38"/>
      <c r="H920" s="43"/>
      <c r="I920" s="43"/>
      <c r="J920" s="39"/>
      <c r="K920" s="38"/>
      <c r="L920" s="39"/>
      <c r="M920" s="39"/>
      <c r="N920" s="43"/>
      <c r="O920" s="38"/>
      <c r="P920" s="38"/>
      <c r="Q920" s="41" t="str">
        <f ca="1">IF(emp_db[[#This Row],[Exit Date]]&lt;&gt;"",(emp_db[[#This Row],[Exit Date]]-emp_db[[#This Row],[Column1]])/365,IF(emp_db[[#This Row],[ID]]&lt;&gt;"",(TODAY()-emp_db[[#This Row],[Column1]])/365,""))</f>
        <v/>
      </c>
      <c r="R920" s="42" t="str">
        <f ca="1">IF(emp_db[[#This Row],[Date of Birth]]&lt;&gt;"",(TODAY()-emp_db[[#This Row],[Date of Birth]])/365,"")</f>
        <v/>
      </c>
      <c r="S920" s="42">
        <f>YEAR(emp_db[[#This Row],[Column1]])</f>
        <v>1900</v>
      </c>
      <c r="T920" s="42">
        <f>MONTH(emp_db[[#This Row],[Column1]])</f>
        <v>1</v>
      </c>
      <c r="U920" s="42">
        <f>IFERROR(YEAR(emp_db[[#This Row],[Exit Date]]),"")</f>
        <v>1900</v>
      </c>
      <c r="V920" s="42">
        <f>IFERROR(MONTH(emp_db[[#This Row],[Exit Date]]),"")</f>
        <v>1</v>
      </c>
    </row>
    <row r="921" spans="2:22">
      <c r="B921" s="39"/>
      <c r="C921" s="39"/>
      <c r="D921" s="39"/>
      <c r="E921" s="39"/>
      <c r="F921" s="40"/>
      <c r="G921" s="38"/>
      <c r="H921" s="43"/>
      <c r="I921" s="43"/>
      <c r="J921" s="39"/>
      <c r="K921" s="38"/>
      <c r="L921" s="39"/>
      <c r="M921" s="39"/>
      <c r="N921" s="43"/>
      <c r="O921" s="38"/>
      <c r="P921" s="38"/>
      <c r="Q921" s="41" t="str">
        <f ca="1">IF(emp_db[[#This Row],[Exit Date]]&lt;&gt;"",(emp_db[[#This Row],[Exit Date]]-emp_db[[#This Row],[Column1]])/365,IF(emp_db[[#This Row],[ID]]&lt;&gt;"",(TODAY()-emp_db[[#This Row],[Column1]])/365,""))</f>
        <v/>
      </c>
      <c r="R921" s="42" t="str">
        <f ca="1">IF(emp_db[[#This Row],[Date of Birth]]&lt;&gt;"",(TODAY()-emp_db[[#This Row],[Date of Birth]])/365,"")</f>
        <v/>
      </c>
      <c r="S921" s="42">
        <f>YEAR(emp_db[[#This Row],[Column1]])</f>
        <v>1900</v>
      </c>
      <c r="T921" s="42">
        <f>MONTH(emp_db[[#This Row],[Column1]])</f>
        <v>1</v>
      </c>
      <c r="U921" s="42">
        <f>IFERROR(YEAR(emp_db[[#This Row],[Exit Date]]),"")</f>
        <v>1900</v>
      </c>
      <c r="V921" s="42">
        <f>IFERROR(MONTH(emp_db[[#This Row],[Exit Date]]),"")</f>
        <v>1</v>
      </c>
    </row>
    <row r="922" spans="2:22">
      <c r="B922" s="39"/>
      <c r="C922" s="39"/>
      <c r="D922" s="39"/>
      <c r="E922" s="39"/>
      <c r="F922" s="40"/>
      <c r="G922" s="38"/>
      <c r="H922" s="43"/>
      <c r="I922" s="43"/>
      <c r="J922" s="39"/>
      <c r="K922" s="38"/>
      <c r="L922" s="39"/>
      <c r="M922" s="39"/>
      <c r="N922" s="43"/>
      <c r="O922" s="38"/>
      <c r="P922" s="38"/>
      <c r="Q922" s="41" t="str">
        <f ca="1">IF(emp_db[[#This Row],[Exit Date]]&lt;&gt;"",(emp_db[[#This Row],[Exit Date]]-emp_db[[#This Row],[Column1]])/365,IF(emp_db[[#This Row],[ID]]&lt;&gt;"",(TODAY()-emp_db[[#This Row],[Column1]])/365,""))</f>
        <v/>
      </c>
      <c r="R922" s="42" t="str">
        <f ca="1">IF(emp_db[[#This Row],[Date of Birth]]&lt;&gt;"",(TODAY()-emp_db[[#This Row],[Date of Birth]])/365,"")</f>
        <v/>
      </c>
      <c r="S922" s="42">
        <f>YEAR(emp_db[[#This Row],[Column1]])</f>
        <v>1900</v>
      </c>
      <c r="T922" s="42">
        <f>MONTH(emp_db[[#This Row],[Column1]])</f>
        <v>1</v>
      </c>
      <c r="U922" s="42">
        <f>IFERROR(YEAR(emp_db[[#This Row],[Exit Date]]),"")</f>
        <v>1900</v>
      </c>
      <c r="V922" s="42">
        <f>IFERROR(MONTH(emp_db[[#This Row],[Exit Date]]),"")</f>
        <v>1</v>
      </c>
    </row>
    <row r="923" spans="2:22">
      <c r="B923" s="39"/>
      <c r="C923" s="39"/>
      <c r="D923" s="39"/>
      <c r="E923" s="39"/>
      <c r="F923" s="40"/>
      <c r="G923" s="38"/>
      <c r="H923" s="43"/>
      <c r="I923" s="43"/>
      <c r="J923" s="39"/>
      <c r="K923" s="38"/>
      <c r="L923" s="39"/>
      <c r="M923" s="39"/>
      <c r="N923" s="43"/>
      <c r="O923" s="38"/>
      <c r="P923" s="38"/>
      <c r="Q923" s="41" t="str">
        <f ca="1">IF(emp_db[[#This Row],[Exit Date]]&lt;&gt;"",(emp_db[[#This Row],[Exit Date]]-emp_db[[#This Row],[Column1]])/365,IF(emp_db[[#This Row],[ID]]&lt;&gt;"",(TODAY()-emp_db[[#This Row],[Column1]])/365,""))</f>
        <v/>
      </c>
      <c r="R923" s="42" t="str">
        <f ca="1">IF(emp_db[[#This Row],[Date of Birth]]&lt;&gt;"",(TODAY()-emp_db[[#This Row],[Date of Birth]])/365,"")</f>
        <v/>
      </c>
      <c r="S923" s="42">
        <f>YEAR(emp_db[[#This Row],[Column1]])</f>
        <v>1900</v>
      </c>
      <c r="T923" s="42">
        <f>MONTH(emp_db[[#This Row],[Column1]])</f>
        <v>1</v>
      </c>
      <c r="U923" s="42">
        <f>IFERROR(YEAR(emp_db[[#This Row],[Exit Date]]),"")</f>
        <v>1900</v>
      </c>
      <c r="V923" s="42">
        <f>IFERROR(MONTH(emp_db[[#This Row],[Exit Date]]),"")</f>
        <v>1</v>
      </c>
    </row>
    <row r="924" spans="2:22">
      <c r="B924" s="39"/>
      <c r="C924" s="39"/>
      <c r="D924" s="39"/>
      <c r="E924" s="39"/>
      <c r="F924" s="40"/>
      <c r="G924" s="38"/>
      <c r="H924" s="43"/>
      <c r="I924" s="43"/>
      <c r="J924" s="39"/>
      <c r="K924" s="38"/>
      <c r="L924" s="39"/>
      <c r="M924" s="39"/>
      <c r="N924" s="43"/>
      <c r="O924" s="38"/>
      <c r="P924" s="38"/>
      <c r="Q924" s="41" t="str">
        <f ca="1">IF(emp_db[[#This Row],[Exit Date]]&lt;&gt;"",(emp_db[[#This Row],[Exit Date]]-emp_db[[#This Row],[Column1]])/365,IF(emp_db[[#This Row],[ID]]&lt;&gt;"",(TODAY()-emp_db[[#This Row],[Column1]])/365,""))</f>
        <v/>
      </c>
      <c r="R924" s="42" t="str">
        <f ca="1">IF(emp_db[[#This Row],[Date of Birth]]&lt;&gt;"",(TODAY()-emp_db[[#This Row],[Date of Birth]])/365,"")</f>
        <v/>
      </c>
      <c r="S924" s="42">
        <f>YEAR(emp_db[[#This Row],[Column1]])</f>
        <v>1900</v>
      </c>
      <c r="T924" s="42">
        <f>MONTH(emp_db[[#This Row],[Column1]])</f>
        <v>1</v>
      </c>
      <c r="U924" s="42">
        <f>IFERROR(YEAR(emp_db[[#This Row],[Exit Date]]),"")</f>
        <v>1900</v>
      </c>
      <c r="V924" s="42">
        <f>IFERROR(MONTH(emp_db[[#This Row],[Exit Date]]),"")</f>
        <v>1</v>
      </c>
    </row>
    <row r="925" spans="2:22">
      <c r="B925" s="39"/>
      <c r="C925" s="39"/>
      <c r="D925" s="39"/>
      <c r="E925" s="39"/>
      <c r="F925" s="40"/>
      <c r="G925" s="38"/>
      <c r="H925" s="43"/>
      <c r="I925" s="43"/>
      <c r="J925" s="39"/>
      <c r="K925" s="38"/>
      <c r="L925" s="39"/>
      <c r="M925" s="39"/>
      <c r="N925" s="43"/>
      <c r="O925" s="38"/>
      <c r="P925" s="38"/>
      <c r="Q925" s="41" t="str">
        <f ca="1">IF(emp_db[[#This Row],[Exit Date]]&lt;&gt;"",(emp_db[[#This Row],[Exit Date]]-emp_db[[#This Row],[Column1]])/365,IF(emp_db[[#This Row],[ID]]&lt;&gt;"",(TODAY()-emp_db[[#This Row],[Column1]])/365,""))</f>
        <v/>
      </c>
      <c r="R925" s="42" t="str">
        <f ca="1">IF(emp_db[[#This Row],[Date of Birth]]&lt;&gt;"",(TODAY()-emp_db[[#This Row],[Date of Birth]])/365,"")</f>
        <v/>
      </c>
      <c r="S925" s="42">
        <f>YEAR(emp_db[[#This Row],[Column1]])</f>
        <v>1900</v>
      </c>
      <c r="T925" s="42">
        <f>MONTH(emp_db[[#This Row],[Column1]])</f>
        <v>1</v>
      </c>
      <c r="U925" s="42">
        <f>IFERROR(YEAR(emp_db[[#This Row],[Exit Date]]),"")</f>
        <v>1900</v>
      </c>
      <c r="V925" s="42">
        <f>IFERROR(MONTH(emp_db[[#This Row],[Exit Date]]),"")</f>
        <v>1</v>
      </c>
    </row>
    <row r="926" spans="2:22">
      <c r="B926" s="39"/>
      <c r="C926" s="39"/>
      <c r="D926" s="39"/>
      <c r="E926" s="39"/>
      <c r="F926" s="40"/>
      <c r="G926" s="38"/>
      <c r="H926" s="43"/>
      <c r="I926" s="43"/>
      <c r="J926" s="39"/>
      <c r="K926" s="38"/>
      <c r="L926" s="39"/>
      <c r="M926" s="39"/>
      <c r="N926" s="43"/>
      <c r="O926" s="38"/>
      <c r="P926" s="38"/>
      <c r="Q926" s="41" t="str">
        <f ca="1">IF(emp_db[[#This Row],[Exit Date]]&lt;&gt;"",(emp_db[[#This Row],[Exit Date]]-emp_db[[#This Row],[Column1]])/365,IF(emp_db[[#This Row],[ID]]&lt;&gt;"",(TODAY()-emp_db[[#This Row],[Column1]])/365,""))</f>
        <v/>
      </c>
      <c r="R926" s="42" t="str">
        <f ca="1">IF(emp_db[[#This Row],[Date of Birth]]&lt;&gt;"",(TODAY()-emp_db[[#This Row],[Date of Birth]])/365,"")</f>
        <v/>
      </c>
      <c r="S926" s="42">
        <f>YEAR(emp_db[[#This Row],[Column1]])</f>
        <v>1900</v>
      </c>
      <c r="T926" s="42">
        <f>MONTH(emp_db[[#This Row],[Column1]])</f>
        <v>1</v>
      </c>
      <c r="U926" s="42">
        <f>IFERROR(YEAR(emp_db[[#This Row],[Exit Date]]),"")</f>
        <v>1900</v>
      </c>
      <c r="V926" s="42">
        <f>IFERROR(MONTH(emp_db[[#This Row],[Exit Date]]),"")</f>
        <v>1</v>
      </c>
    </row>
    <row r="927" spans="2:22">
      <c r="B927" s="39"/>
      <c r="C927" s="39"/>
      <c r="D927" s="39"/>
      <c r="E927" s="39"/>
      <c r="F927" s="40"/>
      <c r="G927" s="38"/>
      <c r="H927" s="43"/>
      <c r="I927" s="43"/>
      <c r="J927" s="39"/>
      <c r="K927" s="38"/>
      <c r="L927" s="39"/>
      <c r="M927" s="39"/>
      <c r="N927" s="43"/>
      <c r="O927" s="38"/>
      <c r="P927" s="38"/>
      <c r="Q927" s="41" t="str">
        <f ca="1">IF(emp_db[[#This Row],[Exit Date]]&lt;&gt;"",(emp_db[[#This Row],[Exit Date]]-emp_db[[#This Row],[Column1]])/365,IF(emp_db[[#This Row],[ID]]&lt;&gt;"",(TODAY()-emp_db[[#This Row],[Column1]])/365,""))</f>
        <v/>
      </c>
      <c r="R927" s="42" t="str">
        <f ca="1">IF(emp_db[[#This Row],[Date of Birth]]&lt;&gt;"",(TODAY()-emp_db[[#This Row],[Date of Birth]])/365,"")</f>
        <v/>
      </c>
      <c r="S927" s="42">
        <f>YEAR(emp_db[[#This Row],[Column1]])</f>
        <v>1900</v>
      </c>
      <c r="T927" s="42">
        <f>MONTH(emp_db[[#This Row],[Column1]])</f>
        <v>1</v>
      </c>
      <c r="U927" s="42">
        <f>IFERROR(YEAR(emp_db[[#This Row],[Exit Date]]),"")</f>
        <v>1900</v>
      </c>
      <c r="V927" s="42">
        <f>IFERROR(MONTH(emp_db[[#This Row],[Exit Date]]),"")</f>
        <v>1</v>
      </c>
    </row>
    <row r="928" spans="2:22">
      <c r="B928" s="39"/>
      <c r="C928" s="39"/>
      <c r="D928" s="39"/>
      <c r="E928" s="39"/>
      <c r="F928" s="40"/>
      <c r="G928" s="38"/>
      <c r="H928" s="43"/>
      <c r="I928" s="43"/>
      <c r="J928" s="39"/>
      <c r="K928" s="38"/>
      <c r="L928" s="39"/>
      <c r="M928" s="39"/>
      <c r="N928" s="43"/>
      <c r="O928" s="38"/>
      <c r="P928" s="38"/>
      <c r="Q928" s="41" t="str">
        <f ca="1">IF(emp_db[[#This Row],[Exit Date]]&lt;&gt;"",(emp_db[[#This Row],[Exit Date]]-emp_db[[#This Row],[Column1]])/365,IF(emp_db[[#This Row],[ID]]&lt;&gt;"",(TODAY()-emp_db[[#This Row],[Column1]])/365,""))</f>
        <v/>
      </c>
      <c r="R928" s="42" t="str">
        <f ca="1">IF(emp_db[[#This Row],[Date of Birth]]&lt;&gt;"",(TODAY()-emp_db[[#This Row],[Date of Birth]])/365,"")</f>
        <v/>
      </c>
      <c r="S928" s="42">
        <f>YEAR(emp_db[[#This Row],[Column1]])</f>
        <v>1900</v>
      </c>
      <c r="T928" s="42">
        <f>MONTH(emp_db[[#This Row],[Column1]])</f>
        <v>1</v>
      </c>
      <c r="U928" s="42">
        <f>IFERROR(YEAR(emp_db[[#This Row],[Exit Date]]),"")</f>
        <v>1900</v>
      </c>
      <c r="V928" s="42">
        <f>IFERROR(MONTH(emp_db[[#This Row],[Exit Date]]),"")</f>
        <v>1</v>
      </c>
    </row>
    <row r="929" spans="2:22">
      <c r="B929" s="39"/>
      <c r="C929" s="39"/>
      <c r="D929" s="39"/>
      <c r="E929" s="39"/>
      <c r="F929" s="40"/>
      <c r="G929" s="38"/>
      <c r="H929" s="43"/>
      <c r="I929" s="43"/>
      <c r="J929" s="39"/>
      <c r="K929" s="38"/>
      <c r="L929" s="39"/>
      <c r="M929" s="39"/>
      <c r="N929" s="43"/>
      <c r="O929" s="38"/>
      <c r="P929" s="38"/>
      <c r="Q929" s="41" t="str">
        <f ca="1">IF(emp_db[[#This Row],[Exit Date]]&lt;&gt;"",(emp_db[[#This Row],[Exit Date]]-emp_db[[#This Row],[Column1]])/365,IF(emp_db[[#This Row],[ID]]&lt;&gt;"",(TODAY()-emp_db[[#This Row],[Column1]])/365,""))</f>
        <v/>
      </c>
      <c r="R929" s="42" t="str">
        <f ca="1">IF(emp_db[[#This Row],[Date of Birth]]&lt;&gt;"",(TODAY()-emp_db[[#This Row],[Date of Birth]])/365,"")</f>
        <v/>
      </c>
      <c r="S929" s="42">
        <f>YEAR(emp_db[[#This Row],[Column1]])</f>
        <v>1900</v>
      </c>
      <c r="T929" s="42">
        <f>MONTH(emp_db[[#This Row],[Column1]])</f>
        <v>1</v>
      </c>
      <c r="U929" s="42">
        <f>IFERROR(YEAR(emp_db[[#This Row],[Exit Date]]),"")</f>
        <v>1900</v>
      </c>
      <c r="V929" s="42">
        <f>IFERROR(MONTH(emp_db[[#This Row],[Exit Date]]),"")</f>
        <v>1</v>
      </c>
    </row>
    <row r="930" spans="2:22">
      <c r="B930" s="39"/>
      <c r="C930" s="39"/>
      <c r="D930" s="39"/>
      <c r="E930" s="39"/>
      <c r="F930" s="40"/>
      <c r="G930" s="38"/>
      <c r="H930" s="43"/>
      <c r="I930" s="43"/>
      <c r="J930" s="39"/>
      <c r="K930" s="38"/>
      <c r="L930" s="39"/>
      <c r="M930" s="39"/>
      <c r="N930" s="43"/>
      <c r="O930" s="38"/>
      <c r="P930" s="38"/>
      <c r="Q930" s="41" t="str">
        <f ca="1">IF(emp_db[[#This Row],[Exit Date]]&lt;&gt;"",(emp_db[[#This Row],[Exit Date]]-emp_db[[#This Row],[Column1]])/365,IF(emp_db[[#This Row],[ID]]&lt;&gt;"",(TODAY()-emp_db[[#This Row],[Column1]])/365,""))</f>
        <v/>
      </c>
      <c r="R930" s="42" t="str">
        <f ca="1">IF(emp_db[[#This Row],[Date of Birth]]&lt;&gt;"",(TODAY()-emp_db[[#This Row],[Date of Birth]])/365,"")</f>
        <v/>
      </c>
      <c r="S930" s="42">
        <f>YEAR(emp_db[[#This Row],[Column1]])</f>
        <v>1900</v>
      </c>
      <c r="T930" s="42">
        <f>MONTH(emp_db[[#This Row],[Column1]])</f>
        <v>1</v>
      </c>
      <c r="U930" s="42">
        <f>IFERROR(YEAR(emp_db[[#This Row],[Exit Date]]),"")</f>
        <v>1900</v>
      </c>
      <c r="V930" s="42">
        <f>IFERROR(MONTH(emp_db[[#This Row],[Exit Date]]),"")</f>
        <v>1</v>
      </c>
    </row>
    <row r="931" spans="2:22">
      <c r="B931" s="39"/>
      <c r="C931" s="39"/>
      <c r="D931" s="39"/>
      <c r="E931" s="39"/>
      <c r="F931" s="40"/>
      <c r="G931" s="38"/>
      <c r="H931" s="43"/>
      <c r="I931" s="43"/>
      <c r="J931" s="39"/>
      <c r="K931" s="38"/>
      <c r="L931" s="39"/>
      <c r="M931" s="39"/>
      <c r="N931" s="43"/>
      <c r="O931" s="38"/>
      <c r="P931" s="38"/>
      <c r="Q931" s="41" t="str">
        <f ca="1">IF(emp_db[[#This Row],[Exit Date]]&lt;&gt;"",(emp_db[[#This Row],[Exit Date]]-emp_db[[#This Row],[Column1]])/365,IF(emp_db[[#This Row],[ID]]&lt;&gt;"",(TODAY()-emp_db[[#This Row],[Column1]])/365,""))</f>
        <v/>
      </c>
      <c r="R931" s="42" t="str">
        <f ca="1">IF(emp_db[[#This Row],[Date of Birth]]&lt;&gt;"",(TODAY()-emp_db[[#This Row],[Date of Birth]])/365,"")</f>
        <v/>
      </c>
      <c r="S931" s="42">
        <f>YEAR(emp_db[[#This Row],[Column1]])</f>
        <v>1900</v>
      </c>
      <c r="T931" s="42">
        <f>MONTH(emp_db[[#This Row],[Column1]])</f>
        <v>1</v>
      </c>
      <c r="U931" s="42">
        <f>IFERROR(YEAR(emp_db[[#This Row],[Exit Date]]),"")</f>
        <v>1900</v>
      </c>
      <c r="V931" s="42">
        <f>IFERROR(MONTH(emp_db[[#This Row],[Exit Date]]),"")</f>
        <v>1</v>
      </c>
    </row>
    <row r="932" spans="2:22">
      <c r="B932" s="39"/>
      <c r="C932" s="39"/>
      <c r="D932" s="39"/>
      <c r="E932" s="39"/>
      <c r="F932" s="40"/>
      <c r="G932" s="38"/>
      <c r="H932" s="43"/>
      <c r="I932" s="43"/>
      <c r="J932" s="39"/>
      <c r="K932" s="38"/>
      <c r="L932" s="39"/>
      <c r="M932" s="39"/>
      <c r="N932" s="43"/>
      <c r="O932" s="38"/>
      <c r="P932" s="38"/>
      <c r="Q932" s="41" t="str">
        <f ca="1">IF(emp_db[[#This Row],[Exit Date]]&lt;&gt;"",(emp_db[[#This Row],[Exit Date]]-emp_db[[#This Row],[Column1]])/365,IF(emp_db[[#This Row],[ID]]&lt;&gt;"",(TODAY()-emp_db[[#This Row],[Column1]])/365,""))</f>
        <v/>
      </c>
      <c r="R932" s="42" t="str">
        <f ca="1">IF(emp_db[[#This Row],[Date of Birth]]&lt;&gt;"",(TODAY()-emp_db[[#This Row],[Date of Birth]])/365,"")</f>
        <v/>
      </c>
      <c r="S932" s="42">
        <f>YEAR(emp_db[[#This Row],[Column1]])</f>
        <v>1900</v>
      </c>
      <c r="T932" s="42">
        <f>MONTH(emp_db[[#This Row],[Column1]])</f>
        <v>1</v>
      </c>
      <c r="U932" s="42">
        <f>IFERROR(YEAR(emp_db[[#This Row],[Exit Date]]),"")</f>
        <v>1900</v>
      </c>
      <c r="V932" s="42">
        <f>IFERROR(MONTH(emp_db[[#This Row],[Exit Date]]),"")</f>
        <v>1</v>
      </c>
    </row>
    <row r="933" spans="2:22">
      <c r="B933" s="39"/>
      <c r="C933" s="39"/>
      <c r="D933" s="39"/>
      <c r="E933" s="39"/>
      <c r="F933" s="40"/>
      <c r="G933" s="38"/>
      <c r="H933" s="43"/>
      <c r="I933" s="43"/>
      <c r="J933" s="39"/>
      <c r="K933" s="38"/>
      <c r="L933" s="39"/>
      <c r="M933" s="39"/>
      <c r="N933" s="43"/>
      <c r="O933" s="38"/>
      <c r="P933" s="38"/>
      <c r="Q933" s="41" t="str">
        <f ca="1">IF(emp_db[[#This Row],[Exit Date]]&lt;&gt;"",(emp_db[[#This Row],[Exit Date]]-emp_db[[#This Row],[Column1]])/365,IF(emp_db[[#This Row],[ID]]&lt;&gt;"",(TODAY()-emp_db[[#This Row],[Column1]])/365,""))</f>
        <v/>
      </c>
      <c r="R933" s="42" t="str">
        <f ca="1">IF(emp_db[[#This Row],[Date of Birth]]&lt;&gt;"",(TODAY()-emp_db[[#This Row],[Date of Birth]])/365,"")</f>
        <v/>
      </c>
      <c r="S933" s="42">
        <f>YEAR(emp_db[[#This Row],[Column1]])</f>
        <v>1900</v>
      </c>
      <c r="T933" s="42">
        <f>MONTH(emp_db[[#This Row],[Column1]])</f>
        <v>1</v>
      </c>
      <c r="U933" s="42">
        <f>IFERROR(YEAR(emp_db[[#This Row],[Exit Date]]),"")</f>
        <v>1900</v>
      </c>
      <c r="V933" s="42">
        <f>IFERROR(MONTH(emp_db[[#This Row],[Exit Date]]),"")</f>
        <v>1</v>
      </c>
    </row>
    <row r="934" spans="2:22">
      <c r="B934" s="39"/>
      <c r="C934" s="39"/>
      <c r="D934" s="39"/>
      <c r="E934" s="39"/>
      <c r="F934" s="40"/>
      <c r="G934" s="38"/>
      <c r="H934" s="43"/>
      <c r="I934" s="43"/>
      <c r="J934" s="39"/>
      <c r="K934" s="38"/>
      <c r="L934" s="39"/>
      <c r="M934" s="39"/>
      <c r="N934" s="43"/>
      <c r="O934" s="38"/>
      <c r="P934" s="38"/>
      <c r="Q934" s="41" t="str">
        <f ca="1">IF(emp_db[[#This Row],[Exit Date]]&lt;&gt;"",(emp_db[[#This Row],[Exit Date]]-emp_db[[#This Row],[Column1]])/365,IF(emp_db[[#This Row],[ID]]&lt;&gt;"",(TODAY()-emp_db[[#This Row],[Column1]])/365,""))</f>
        <v/>
      </c>
      <c r="R934" s="42" t="str">
        <f ca="1">IF(emp_db[[#This Row],[Date of Birth]]&lt;&gt;"",(TODAY()-emp_db[[#This Row],[Date of Birth]])/365,"")</f>
        <v/>
      </c>
      <c r="S934" s="42">
        <f>YEAR(emp_db[[#This Row],[Column1]])</f>
        <v>1900</v>
      </c>
      <c r="T934" s="42">
        <f>MONTH(emp_db[[#This Row],[Column1]])</f>
        <v>1</v>
      </c>
      <c r="U934" s="42">
        <f>IFERROR(YEAR(emp_db[[#This Row],[Exit Date]]),"")</f>
        <v>1900</v>
      </c>
      <c r="V934" s="42">
        <f>IFERROR(MONTH(emp_db[[#This Row],[Exit Date]]),"")</f>
        <v>1</v>
      </c>
    </row>
    <row r="935" spans="2:22">
      <c r="B935" s="39"/>
      <c r="C935" s="39"/>
      <c r="D935" s="39"/>
      <c r="E935" s="39"/>
      <c r="F935" s="40"/>
      <c r="G935" s="38"/>
      <c r="H935" s="43"/>
      <c r="I935" s="43"/>
      <c r="J935" s="39"/>
      <c r="K935" s="38"/>
      <c r="L935" s="39"/>
      <c r="M935" s="39"/>
      <c r="N935" s="43"/>
      <c r="O935" s="38"/>
      <c r="P935" s="38"/>
      <c r="Q935" s="41" t="str">
        <f ca="1">IF(emp_db[[#This Row],[Exit Date]]&lt;&gt;"",(emp_db[[#This Row],[Exit Date]]-emp_db[[#This Row],[Column1]])/365,IF(emp_db[[#This Row],[ID]]&lt;&gt;"",(TODAY()-emp_db[[#This Row],[Column1]])/365,""))</f>
        <v/>
      </c>
      <c r="R935" s="42" t="str">
        <f ca="1">IF(emp_db[[#This Row],[Date of Birth]]&lt;&gt;"",(TODAY()-emp_db[[#This Row],[Date of Birth]])/365,"")</f>
        <v/>
      </c>
      <c r="S935" s="42">
        <f>YEAR(emp_db[[#This Row],[Column1]])</f>
        <v>1900</v>
      </c>
      <c r="T935" s="42">
        <f>MONTH(emp_db[[#This Row],[Column1]])</f>
        <v>1</v>
      </c>
      <c r="U935" s="42">
        <f>IFERROR(YEAR(emp_db[[#This Row],[Exit Date]]),"")</f>
        <v>1900</v>
      </c>
      <c r="V935" s="42">
        <f>IFERROR(MONTH(emp_db[[#This Row],[Exit Date]]),"")</f>
        <v>1</v>
      </c>
    </row>
    <row r="936" spans="2:22">
      <c r="B936" s="39"/>
      <c r="C936" s="39"/>
      <c r="D936" s="39"/>
      <c r="E936" s="39"/>
      <c r="F936" s="40"/>
      <c r="G936" s="38"/>
      <c r="H936" s="43"/>
      <c r="I936" s="43"/>
      <c r="J936" s="39"/>
      <c r="K936" s="38"/>
      <c r="L936" s="39"/>
      <c r="M936" s="39"/>
      <c r="N936" s="43"/>
      <c r="O936" s="38"/>
      <c r="P936" s="38"/>
      <c r="Q936" s="41" t="str">
        <f ca="1">IF(emp_db[[#This Row],[Exit Date]]&lt;&gt;"",(emp_db[[#This Row],[Exit Date]]-emp_db[[#This Row],[Column1]])/365,IF(emp_db[[#This Row],[ID]]&lt;&gt;"",(TODAY()-emp_db[[#This Row],[Column1]])/365,""))</f>
        <v/>
      </c>
      <c r="R936" s="42" t="str">
        <f ca="1">IF(emp_db[[#This Row],[Date of Birth]]&lt;&gt;"",(TODAY()-emp_db[[#This Row],[Date of Birth]])/365,"")</f>
        <v/>
      </c>
      <c r="S936" s="42">
        <f>YEAR(emp_db[[#This Row],[Column1]])</f>
        <v>1900</v>
      </c>
      <c r="T936" s="42">
        <f>MONTH(emp_db[[#This Row],[Column1]])</f>
        <v>1</v>
      </c>
      <c r="U936" s="42">
        <f>IFERROR(YEAR(emp_db[[#This Row],[Exit Date]]),"")</f>
        <v>1900</v>
      </c>
      <c r="V936" s="42">
        <f>IFERROR(MONTH(emp_db[[#This Row],[Exit Date]]),"")</f>
        <v>1</v>
      </c>
    </row>
    <row r="937" spans="2:22">
      <c r="B937" s="39"/>
      <c r="C937" s="39"/>
      <c r="D937" s="39"/>
      <c r="E937" s="39"/>
      <c r="F937" s="40"/>
      <c r="G937" s="38"/>
      <c r="H937" s="43"/>
      <c r="I937" s="43"/>
      <c r="J937" s="39"/>
      <c r="K937" s="38"/>
      <c r="L937" s="39"/>
      <c r="M937" s="39"/>
      <c r="N937" s="43"/>
      <c r="O937" s="38"/>
      <c r="P937" s="38"/>
      <c r="Q937" s="41" t="str">
        <f ca="1">IF(emp_db[[#This Row],[Exit Date]]&lt;&gt;"",(emp_db[[#This Row],[Exit Date]]-emp_db[[#This Row],[Column1]])/365,IF(emp_db[[#This Row],[ID]]&lt;&gt;"",(TODAY()-emp_db[[#This Row],[Column1]])/365,""))</f>
        <v/>
      </c>
      <c r="R937" s="42" t="str">
        <f ca="1">IF(emp_db[[#This Row],[Date of Birth]]&lt;&gt;"",(TODAY()-emp_db[[#This Row],[Date of Birth]])/365,"")</f>
        <v/>
      </c>
      <c r="S937" s="42">
        <f>YEAR(emp_db[[#This Row],[Column1]])</f>
        <v>1900</v>
      </c>
      <c r="T937" s="42">
        <f>MONTH(emp_db[[#This Row],[Column1]])</f>
        <v>1</v>
      </c>
      <c r="U937" s="42">
        <f>IFERROR(YEAR(emp_db[[#This Row],[Exit Date]]),"")</f>
        <v>1900</v>
      </c>
      <c r="V937" s="42">
        <f>IFERROR(MONTH(emp_db[[#This Row],[Exit Date]]),"")</f>
        <v>1</v>
      </c>
    </row>
    <row r="938" spans="2:22">
      <c r="B938" s="39"/>
      <c r="C938" s="39"/>
      <c r="D938" s="39"/>
      <c r="E938" s="39"/>
      <c r="F938" s="40"/>
      <c r="G938" s="38"/>
      <c r="H938" s="43"/>
      <c r="I938" s="43"/>
      <c r="J938" s="39"/>
      <c r="K938" s="38"/>
      <c r="L938" s="39"/>
      <c r="M938" s="39"/>
      <c r="N938" s="43"/>
      <c r="O938" s="38"/>
      <c r="P938" s="38"/>
      <c r="Q938" s="41" t="str">
        <f ca="1">IF(emp_db[[#This Row],[Exit Date]]&lt;&gt;"",(emp_db[[#This Row],[Exit Date]]-emp_db[[#This Row],[Column1]])/365,IF(emp_db[[#This Row],[ID]]&lt;&gt;"",(TODAY()-emp_db[[#This Row],[Column1]])/365,""))</f>
        <v/>
      </c>
      <c r="R938" s="42" t="str">
        <f ca="1">IF(emp_db[[#This Row],[Date of Birth]]&lt;&gt;"",(TODAY()-emp_db[[#This Row],[Date of Birth]])/365,"")</f>
        <v/>
      </c>
      <c r="S938" s="42">
        <f>YEAR(emp_db[[#This Row],[Column1]])</f>
        <v>1900</v>
      </c>
      <c r="T938" s="42">
        <f>MONTH(emp_db[[#This Row],[Column1]])</f>
        <v>1</v>
      </c>
      <c r="U938" s="42">
        <f>IFERROR(YEAR(emp_db[[#This Row],[Exit Date]]),"")</f>
        <v>1900</v>
      </c>
      <c r="V938" s="42">
        <f>IFERROR(MONTH(emp_db[[#This Row],[Exit Date]]),"")</f>
        <v>1</v>
      </c>
    </row>
    <row r="939" spans="2:22">
      <c r="B939" s="39"/>
      <c r="C939" s="39"/>
      <c r="D939" s="39"/>
      <c r="E939" s="39"/>
      <c r="F939" s="40"/>
      <c r="G939" s="38"/>
      <c r="H939" s="43"/>
      <c r="I939" s="43"/>
      <c r="J939" s="39"/>
      <c r="K939" s="38"/>
      <c r="L939" s="39"/>
      <c r="M939" s="39"/>
      <c r="N939" s="43"/>
      <c r="O939" s="38"/>
      <c r="P939" s="38"/>
      <c r="Q939" s="41" t="str">
        <f ca="1">IF(emp_db[[#This Row],[Exit Date]]&lt;&gt;"",(emp_db[[#This Row],[Exit Date]]-emp_db[[#This Row],[Column1]])/365,IF(emp_db[[#This Row],[ID]]&lt;&gt;"",(TODAY()-emp_db[[#This Row],[Column1]])/365,""))</f>
        <v/>
      </c>
      <c r="R939" s="42" t="str">
        <f ca="1">IF(emp_db[[#This Row],[Date of Birth]]&lt;&gt;"",(TODAY()-emp_db[[#This Row],[Date of Birth]])/365,"")</f>
        <v/>
      </c>
      <c r="S939" s="42">
        <f>YEAR(emp_db[[#This Row],[Column1]])</f>
        <v>1900</v>
      </c>
      <c r="T939" s="42">
        <f>MONTH(emp_db[[#This Row],[Column1]])</f>
        <v>1</v>
      </c>
      <c r="U939" s="42">
        <f>IFERROR(YEAR(emp_db[[#This Row],[Exit Date]]),"")</f>
        <v>1900</v>
      </c>
      <c r="V939" s="42">
        <f>IFERROR(MONTH(emp_db[[#This Row],[Exit Date]]),"")</f>
        <v>1</v>
      </c>
    </row>
    <row r="940" spans="2:22">
      <c r="B940" s="39"/>
      <c r="C940" s="39"/>
      <c r="D940" s="39"/>
      <c r="E940" s="39"/>
      <c r="F940" s="40"/>
      <c r="G940" s="38"/>
      <c r="H940" s="43"/>
      <c r="I940" s="43"/>
      <c r="J940" s="39"/>
      <c r="K940" s="38"/>
      <c r="L940" s="39"/>
      <c r="M940" s="39"/>
      <c r="N940" s="43"/>
      <c r="O940" s="38"/>
      <c r="P940" s="38"/>
      <c r="Q940" s="41" t="str">
        <f ca="1">IF(emp_db[[#This Row],[Exit Date]]&lt;&gt;"",(emp_db[[#This Row],[Exit Date]]-emp_db[[#This Row],[Column1]])/365,IF(emp_db[[#This Row],[ID]]&lt;&gt;"",(TODAY()-emp_db[[#This Row],[Column1]])/365,""))</f>
        <v/>
      </c>
      <c r="R940" s="42" t="str">
        <f ca="1">IF(emp_db[[#This Row],[Date of Birth]]&lt;&gt;"",(TODAY()-emp_db[[#This Row],[Date of Birth]])/365,"")</f>
        <v/>
      </c>
      <c r="S940" s="42">
        <f>YEAR(emp_db[[#This Row],[Column1]])</f>
        <v>1900</v>
      </c>
      <c r="T940" s="42">
        <f>MONTH(emp_db[[#This Row],[Column1]])</f>
        <v>1</v>
      </c>
      <c r="U940" s="42">
        <f>IFERROR(YEAR(emp_db[[#This Row],[Exit Date]]),"")</f>
        <v>1900</v>
      </c>
      <c r="V940" s="42">
        <f>IFERROR(MONTH(emp_db[[#This Row],[Exit Date]]),"")</f>
        <v>1</v>
      </c>
    </row>
    <row r="941" spans="2:22">
      <c r="B941" s="39"/>
      <c r="C941" s="39"/>
      <c r="D941" s="39"/>
      <c r="E941" s="39"/>
      <c r="F941" s="40"/>
      <c r="G941" s="38"/>
      <c r="H941" s="43"/>
      <c r="I941" s="43"/>
      <c r="J941" s="39"/>
      <c r="K941" s="38"/>
      <c r="L941" s="39"/>
      <c r="M941" s="39"/>
      <c r="N941" s="43"/>
      <c r="O941" s="38"/>
      <c r="P941" s="38"/>
      <c r="Q941" s="41" t="str">
        <f ca="1">IF(emp_db[[#This Row],[Exit Date]]&lt;&gt;"",(emp_db[[#This Row],[Exit Date]]-emp_db[[#This Row],[Column1]])/365,IF(emp_db[[#This Row],[ID]]&lt;&gt;"",(TODAY()-emp_db[[#This Row],[Column1]])/365,""))</f>
        <v/>
      </c>
      <c r="R941" s="42" t="str">
        <f ca="1">IF(emp_db[[#This Row],[Date of Birth]]&lt;&gt;"",(TODAY()-emp_db[[#This Row],[Date of Birth]])/365,"")</f>
        <v/>
      </c>
      <c r="S941" s="42">
        <f>YEAR(emp_db[[#This Row],[Column1]])</f>
        <v>1900</v>
      </c>
      <c r="T941" s="42">
        <f>MONTH(emp_db[[#This Row],[Column1]])</f>
        <v>1</v>
      </c>
      <c r="U941" s="42">
        <f>IFERROR(YEAR(emp_db[[#This Row],[Exit Date]]),"")</f>
        <v>1900</v>
      </c>
      <c r="V941" s="42">
        <f>IFERROR(MONTH(emp_db[[#This Row],[Exit Date]]),"")</f>
        <v>1</v>
      </c>
    </row>
    <row r="942" spans="2:22">
      <c r="B942" s="39"/>
      <c r="C942" s="39"/>
      <c r="D942" s="39"/>
      <c r="E942" s="39"/>
      <c r="F942" s="40"/>
      <c r="G942" s="38"/>
      <c r="H942" s="43"/>
      <c r="I942" s="43"/>
      <c r="J942" s="39"/>
      <c r="K942" s="38"/>
      <c r="L942" s="39"/>
      <c r="M942" s="39"/>
      <c r="N942" s="43"/>
      <c r="O942" s="38"/>
      <c r="P942" s="38"/>
      <c r="Q942" s="41" t="str">
        <f ca="1">IF(emp_db[[#This Row],[Exit Date]]&lt;&gt;"",(emp_db[[#This Row],[Exit Date]]-emp_db[[#This Row],[Column1]])/365,IF(emp_db[[#This Row],[ID]]&lt;&gt;"",(TODAY()-emp_db[[#This Row],[Column1]])/365,""))</f>
        <v/>
      </c>
      <c r="R942" s="42" t="str">
        <f ca="1">IF(emp_db[[#This Row],[Date of Birth]]&lt;&gt;"",(TODAY()-emp_db[[#This Row],[Date of Birth]])/365,"")</f>
        <v/>
      </c>
      <c r="S942" s="42">
        <f>YEAR(emp_db[[#This Row],[Column1]])</f>
        <v>1900</v>
      </c>
      <c r="T942" s="42">
        <f>MONTH(emp_db[[#This Row],[Column1]])</f>
        <v>1</v>
      </c>
      <c r="U942" s="42">
        <f>IFERROR(YEAR(emp_db[[#This Row],[Exit Date]]),"")</f>
        <v>1900</v>
      </c>
      <c r="V942" s="42">
        <f>IFERROR(MONTH(emp_db[[#This Row],[Exit Date]]),"")</f>
        <v>1</v>
      </c>
    </row>
    <row r="943" spans="2:22">
      <c r="B943" s="39"/>
      <c r="C943" s="39"/>
      <c r="D943" s="39"/>
      <c r="E943" s="39"/>
      <c r="F943" s="40"/>
      <c r="G943" s="38"/>
      <c r="H943" s="43"/>
      <c r="I943" s="43"/>
      <c r="J943" s="39"/>
      <c r="K943" s="38"/>
      <c r="L943" s="39"/>
      <c r="M943" s="39"/>
      <c r="N943" s="43"/>
      <c r="O943" s="38"/>
      <c r="P943" s="38"/>
      <c r="Q943" s="41" t="str">
        <f ca="1">IF(emp_db[[#This Row],[Exit Date]]&lt;&gt;"",(emp_db[[#This Row],[Exit Date]]-emp_db[[#This Row],[Column1]])/365,IF(emp_db[[#This Row],[ID]]&lt;&gt;"",(TODAY()-emp_db[[#This Row],[Column1]])/365,""))</f>
        <v/>
      </c>
      <c r="R943" s="42" t="str">
        <f ca="1">IF(emp_db[[#This Row],[Date of Birth]]&lt;&gt;"",(TODAY()-emp_db[[#This Row],[Date of Birth]])/365,"")</f>
        <v/>
      </c>
      <c r="S943" s="42">
        <f>YEAR(emp_db[[#This Row],[Column1]])</f>
        <v>1900</v>
      </c>
      <c r="T943" s="42">
        <f>MONTH(emp_db[[#This Row],[Column1]])</f>
        <v>1</v>
      </c>
      <c r="U943" s="42">
        <f>IFERROR(YEAR(emp_db[[#This Row],[Exit Date]]),"")</f>
        <v>1900</v>
      </c>
      <c r="V943" s="42">
        <f>IFERROR(MONTH(emp_db[[#This Row],[Exit Date]]),"")</f>
        <v>1</v>
      </c>
    </row>
    <row r="944" spans="2:22">
      <c r="B944" s="39"/>
      <c r="C944" s="39"/>
      <c r="D944" s="39"/>
      <c r="E944" s="39"/>
      <c r="F944" s="40"/>
      <c r="G944" s="38"/>
      <c r="H944" s="43"/>
      <c r="I944" s="43"/>
      <c r="J944" s="39"/>
      <c r="K944" s="38"/>
      <c r="L944" s="39"/>
      <c r="M944" s="39"/>
      <c r="N944" s="43"/>
      <c r="O944" s="38"/>
      <c r="P944" s="38"/>
      <c r="Q944" s="41" t="str">
        <f ca="1">IF(emp_db[[#This Row],[Exit Date]]&lt;&gt;"",(emp_db[[#This Row],[Exit Date]]-emp_db[[#This Row],[Column1]])/365,IF(emp_db[[#This Row],[ID]]&lt;&gt;"",(TODAY()-emp_db[[#This Row],[Column1]])/365,""))</f>
        <v/>
      </c>
      <c r="R944" s="42" t="str">
        <f ca="1">IF(emp_db[[#This Row],[Date of Birth]]&lt;&gt;"",(TODAY()-emp_db[[#This Row],[Date of Birth]])/365,"")</f>
        <v/>
      </c>
      <c r="S944" s="42">
        <f>YEAR(emp_db[[#This Row],[Column1]])</f>
        <v>1900</v>
      </c>
      <c r="T944" s="42">
        <f>MONTH(emp_db[[#This Row],[Column1]])</f>
        <v>1</v>
      </c>
      <c r="U944" s="42">
        <f>IFERROR(YEAR(emp_db[[#This Row],[Exit Date]]),"")</f>
        <v>1900</v>
      </c>
      <c r="V944" s="42">
        <f>IFERROR(MONTH(emp_db[[#This Row],[Exit Date]]),"")</f>
        <v>1</v>
      </c>
    </row>
    <row r="945" spans="2:22">
      <c r="B945" s="39"/>
      <c r="C945" s="39"/>
      <c r="D945" s="39"/>
      <c r="E945" s="39"/>
      <c r="F945" s="40"/>
      <c r="G945" s="38"/>
      <c r="H945" s="43"/>
      <c r="I945" s="43"/>
      <c r="J945" s="39"/>
      <c r="K945" s="38"/>
      <c r="L945" s="39"/>
      <c r="M945" s="39"/>
      <c r="N945" s="43"/>
      <c r="O945" s="38"/>
      <c r="P945" s="38"/>
      <c r="Q945" s="41" t="str">
        <f ca="1">IF(emp_db[[#This Row],[Exit Date]]&lt;&gt;"",(emp_db[[#This Row],[Exit Date]]-emp_db[[#This Row],[Column1]])/365,IF(emp_db[[#This Row],[ID]]&lt;&gt;"",(TODAY()-emp_db[[#This Row],[Column1]])/365,""))</f>
        <v/>
      </c>
      <c r="R945" s="42" t="str">
        <f ca="1">IF(emp_db[[#This Row],[Date of Birth]]&lt;&gt;"",(TODAY()-emp_db[[#This Row],[Date of Birth]])/365,"")</f>
        <v/>
      </c>
      <c r="S945" s="42">
        <f>YEAR(emp_db[[#This Row],[Column1]])</f>
        <v>1900</v>
      </c>
      <c r="T945" s="42">
        <f>MONTH(emp_db[[#This Row],[Column1]])</f>
        <v>1</v>
      </c>
      <c r="U945" s="42">
        <f>IFERROR(YEAR(emp_db[[#This Row],[Exit Date]]),"")</f>
        <v>1900</v>
      </c>
      <c r="V945" s="42">
        <f>IFERROR(MONTH(emp_db[[#This Row],[Exit Date]]),"")</f>
        <v>1</v>
      </c>
    </row>
    <row r="946" spans="2:22">
      <c r="B946" s="39"/>
      <c r="C946" s="39"/>
      <c r="D946" s="39"/>
      <c r="E946" s="39"/>
      <c r="F946" s="40"/>
      <c r="G946" s="38"/>
      <c r="H946" s="43"/>
      <c r="I946" s="43"/>
      <c r="J946" s="39"/>
      <c r="K946" s="38"/>
      <c r="L946" s="39"/>
      <c r="M946" s="39"/>
      <c r="N946" s="43"/>
      <c r="O946" s="38"/>
      <c r="P946" s="38"/>
      <c r="Q946" s="41" t="str">
        <f ca="1">IF(emp_db[[#This Row],[Exit Date]]&lt;&gt;"",(emp_db[[#This Row],[Exit Date]]-emp_db[[#This Row],[Column1]])/365,IF(emp_db[[#This Row],[ID]]&lt;&gt;"",(TODAY()-emp_db[[#This Row],[Column1]])/365,""))</f>
        <v/>
      </c>
      <c r="R946" s="42" t="str">
        <f ca="1">IF(emp_db[[#This Row],[Date of Birth]]&lt;&gt;"",(TODAY()-emp_db[[#This Row],[Date of Birth]])/365,"")</f>
        <v/>
      </c>
      <c r="S946" s="42">
        <f>YEAR(emp_db[[#This Row],[Column1]])</f>
        <v>1900</v>
      </c>
      <c r="T946" s="42">
        <f>MONTH(emp_db[[#This Row],[Column1]])</f>
        <v>1</v>
      </c>
      <c r="U946" s="42">
        <f>IFERROR(YEAR(emp_db[[#This Row],[Exit Date]]),"")</f>
        <v>1900</v>
      </c>
      <c r="V946" s="42">
        <f>IFERROR(MONTH(emp_db[[#This Row],[Exit Date]]),"")</f>
        <v>1</v>
      </c>
    </row>
    <row r="947" spans="2:22">
      <c r="B947" s="39"/>
      <c r="C947" s="39"/>
      <c r="D947" s="39"/>
      <c r="E947" s="39"/>
      <c r="F947" s="40"/>
      <c r="G947" s="38"/>
      <c r="H947" s="43"/>
      <c r="I947" s="43"/>
      <c r="J947" s="39"/>
      <c r="K947" s="38"/>
      <c r="L947" s="39"/>
      <c r="M947" s="39"/>
      <c r="N947" s="43"/>
      <c r="O947" s="38"/>
      <c r="P947" s="38"/>
      <c r="Q947" s="41" t="str">
        <f ca="1">IF(emp_db[[#This Row],[Exit Date]]&lt;&gt;"",(emp_db[[#This Row],[Exit Date]]-emp_db[[#This Row],[Column1]])/365,IF(emp_db[[#This Row],[ID]]&lt;&gt;"",(TODAY()-emp_db[[#This Row],[Column1]])/365,""))</f>
        <v/>
      </c>
      <c r="R947" s="42" t="str">
        <f ca="1">IF(emp_db[[#This Row],[Date of Birth]]&lt;&gt;"",(TODAY()-emp_db[[#This Row],[Date of Birth]])/365,"")</f>
        <v/>
      </c>
      <c r="S947" s="42">
        <f>YEAR(emp_db[[#This Row],[Column1]])</f>
        <v>1900</v>
      </c>
      <c r="T947" s="42">
        <f>MONTH(emp_db[[#This Row],[Column1]])</f>
        <v>1</v>
      </c>
      <c r="U947" s="42">
        <f>IFERROR(YEAR(emp_db[[#This Row],[Exit Date]]),"")</f>
        <v>1900</v>
      </c>
      <c r="V947" s="42">
        <f>IFERROR(MONTH(emp_db[[#This Row],[Exit Date]]),"")</f>
        <v>1</v>
      </c>
    </row>
    <row r="948" spans="2:22">
      <c r="B948" s="39"/>
      <c r="C948" s="39"/>
      <c r="D948" s="39"/>
      <c r="E948" s="39"/>
      <c r="F948" s="40"/>
      <c r="G948" s="38"/>
      <c r="H948" s="43"/>
      <c r="I948" s="43"/>
      <c r="J948" s="39"/>
      <c r="K948" s="38"/>
      <c r="L948" s="39"/>
      <c r="M948" s="39"/>
      <c r="N948" s="43"/>
      <c r="O948" s="38"/>
      <c r="P948" s="38"/>
      <c r="Q948" s="41" t="str">
        <f ca="1">IF(emp_db[[#This Row],[Exit Date]]&lt;&gt;"",(emp_db[[#This Row],[Exit Date]]-emp_db[[#This Row],[Column1]])/365,IF(emp_db[[#This Row],[ID]]&lt;&gt;"",(TODAY()-emp_db[[#This Row],[Column1]])/365,""))</f>
        <v/>
      </c>
      <c r="R948" s="42" t="str">
        <f ca="1">IF(emp_db[[#This Row],[Date of Birth]]&lt;&gt;"",(TODAY()-emp_db[[#This Row],[Date of Birth]])/365,"")</f>
        <v/>
      </c>
      <c r="S948" s="42">
        <f>YEAR(emp_db[[#This Row],[Column1]])</f>
        <v>1900</v>
      </c>
      <c r="T948" s="42">
        <f>MONTH(emp_db[[#This Row],[Column1]])</f>
        <v>1</v>
      </c>
      <c r="U948" s="42">
        <f>IFERROR(YEAR(emp_db[[#This Row],[Exit Date]]),"")</f>
        <v>1900</v>
      </c>
      <c r="V948" s="42">
        <f>IFERROR(MONTH(emp_db[[#This Row],[Exit Date]]),"")</f>
        <v>1</v>
      </c>
    </row>
    <row r="949" spans="2:22">
      <c r="B949" s="39"/>
      <c r="C949" s="39"/>
      <c r="D949" s="39"/>
      <c r="E949" s="39"/>
      <c r="F949" s="40"/>
      <c r="G949" s="38"/>
      <c r="H949" s="43"/>
      <c r="I949" s="43"/>
      <c r="J949" s="39"/>
      <c r="K949" s="38"/>
      <c r="L949" s="39"/>
      <c r="M949" s="39"/>
      <c r="N949" s="43"/>
      <c r="O949" s="38"/>
      <c r="P949" s="38"/>
      <c r="Q949" s="41" t="str">
        <f ca="1">IF(emp_db[[#This Row],[Exit Date]]&lt;&gt;"",(emp_db[[#This Row],[Exit Date]]-emp_db[[#This Row],[Column1]])/365,IF(emp_db[[#This Row],[ID]]&lt;&gt;"",(TODAY()-emp_db[[#This Row],[Column1]])/365,""))</f>
        <v/>
      </c>
      <c r="R949" s="42" t="str">
        <f ca="1">IF(emp_db[[#This Row],[Date of Birth]]&lt;&gt;"",(TODAY()-emp_db[[#This Row],[Date of Birth]])/365,"")</f>
        <v/>
      </c>
      <c r="S949" s="42">
        <f>YEAR(emp_db[[#This Row],[Column1]])</f>
        <v>1900</v>
      </c>
      <c r="T949" s="42">
        <f>MONTH(emp_db[[#This Row],[Column1]])</f>
        <v>1</v>
      </c>
      <c r="U949" s="42">
        <f>IFERROR(YEAR(emp_db[[#This Row],[Exit Date]]),"")</f>
        <v>1900</v>
      </c>
      <c r="V949" s="42">
        <f>IFERROR(MONTH(emp_db[[#This Row],[Exit Date]]),"")</f>
        <v>1</v>
      </c>
    </row>
    <row r="950" spans="2:22">
      <c r="B950" s="39"/>
      <c r="C950" s="39"/>
      <c r="D950" s="39"/>
      <c r="E950" s="39"/>
      <c r="F950" s="40"/>
      <c r="G950" s="38"/>
      <c r="H950" s="43"/>
      <c r="I950" s="43"/>
      <c r="J950" s="39"/>
      <c r="K950" s="38"/>
      <c r="L950" s="39"/>
      <c r="M950" s="39"/>
      <c r="N950" s="43"/>
      <c r="O950" s="38"/>
      <c r="P950" s="38"/>
      <c r="Q950" s="41" t="str">
        <f ca="1">IF(emp_db[[#This Row],[Exit Date]]&lt;&gt;"",(emp_db[[#This Row],[Exit Date]]-emp_db[[#This Row],[Column1]])/365,IF(emp_db[[#This Row],[ID]]&lt;&gt;"",(TODAY()-emp_db[[#This Row],[Column1]])/365,""))</f>
        <v/>
      </c>
      <c r="R950" s="42" t="str">
        <f ca="1">IF(emp_db[[#This Row],[Date of Birth]]&lt;&gt;"",(TODAY()-emp_db[[#This Row],[Date of Birth]])/365,"")</f>
        <v/>
      </c>
      <c r="S950" s="42">
        <f>YEAR(emp_db[[#This Row],[Column1]])</f>
        <v>1900</v>
      </c>
      <c r="T950" s="42">
        <f>MONTH(emp_db[[#This Row],[Column1]])</f>
        <v>1</v>
      </c>
      <c r="U950" s="42">
        <f>IFERROR(YEAR(emp_db[[#This Row],[Exit Date]]),"")</f>
        <v>1900</v>
      </c>
      <c r="V950" s="42">
        <f>IFERROR(MONTH(emp_db[[#This Row],[Exit Date]]),"")</f>
        <v>1</v>
      </c>
    </row>
    <row r="951" spans="2:22">
      <c r="B951" s="39"/>
      <c r="C951" s="39"/>
      <c r="D951" s="39"/>
      <c r="E951" s="39"/>
      <c r="F951" s="40"/>
      <c r="G951" s="38"/>
      <c r="H951" s="43"/>
      <c r="I951" s="43"/>
      <c r="J951" s="39"/>
      <c r="K951" s="38"/>
      <c r="L951" s="39"/>
      <c r="M951" s="39"/>
      <c r="N951" s="43"/>
      <c r="O951" s="38"/>
      <c r="P951" s="38"/>
      <c r="Q951" s="41" t="str">
        <f ca="1">IF(emp_db[[#This Row],[Exit Date]]&lt;&gt;"",(emp_db[[#This Row],[Exit Date]]-emp_db[[#This Row],[Column1]])/365,IF(emp_db[[#This Row],[ID]]&lt;&gt;"",(TODAY()-emp_db[[#This Row],[Column1]])/365,""))</f>
        <v/>
      </c>
      <c r="R951" s="42" t="str">
        <f ca="1">IF(emp_db[[#This Row],[Date of Birth]]&lt;&gt;"",(TODAY()-emp_db[[#This Row],[Date of Birth]])/365,"")</f>
        <v/>
      </c>
      <c r="S951" s="42">
        <f>YEAR(emp_db[[#This Row],[Column1]])</f>
        <v>1900</v>
      </c>
      <c r="T951" s="42">
        <f>MONTH(emp_db[[#This Row],[Column1]])</f>
        <v>1</v>
      </c>
      <c r="U951" s="42">
        <f>IFERROR(YEAR(emp_db[[#This Row],[Exit Date]]),"")</f>
        <v>1900</v>
      </c>
      <c r="V951" s="42">
        <f>IFERROR(MONTH(emp_db[[#This Row],[Exit Date]]),"")</f>
        <v>1</v>
      </c>
    </row>
    <row r="952" spans="2:22">
      <c r="B952" s="39"/>
      <c r="C952" s="39"/>
      <c r="D952" s="39"/>
      <c r="E952" s="39"/>
      <c r="F952" s="40"/>
      <c r="G952" s="38"/>
      <c r="H952" s="43"/>
      <c r="I952" s="43"/>
      <c r="J952" s="39"/>
      <c r="K952" s="38"/>
      <c r="L952" s="39"/>
      <c r="M952" s="39"/>
      <c r="N952" s="43"/>
      <c r="O952" s="38"/>
      <c r="P952" s="38"/>
      <c r="Q952" s="41" t="str">
        <f ca="1">IF(emp_db[[#This Row],[Exit Date]]&lt;&gt;"",(emp_db[[#This Row],[Exit Date]]-emp_db[[#This Row],[Column1]])/365,IF(emp_db[[#This Row],[ID]]&lt;&gt;"",(TODAY()-emp_db[[#This Row],[Column1]])/365,""))</f>
        <v/>
      </c>
      <c r="R952" s="42" t="str">
        <f ca="1">IF(emp_db[[#This Row],[Date of Birth]]&lt;&gt;"",(TODAY()-emp_db[[#This Row],[Date of Birth]])/365,"")</f>
        <v/>
      </c>
      <c r="S952" s="42">
        <f>YEAR(emp_db[[#This Row],[Column1]])</f>
        <v>1900</v>
      </c>
      <c r="T952" s="42">
        <f>MONTH(emp_db[[#This Row],[Column1]])</f>
        <v>1</v>
      </c>
      <c r="U952" s="42">
        <f>IFERROR(YEAR(emp_db[[#This Row],[Exit Date]]),"")</f>
        <v>1900</v>
      </c>
      <c r="V952" s="42">
        <f>IFERROR(MONTH(emp_db[[#This Row],[Exit Date]]),"")</f>
        <v>1</v>
      </c>
    </row>
    <row r="953" spans="2:22">
      <c r="B953" s="39"/>
      <c r="C953" s="39"/>
      <c r="D953" s="39"/>
      <c r="E953" s="39"/>
      <c r="F953" s="40"/>
      <c r="G953" s="38"/>
      <c r="H953" s="43"/>
      <c r="I953" s="43"/>
      <c r="J953" s="39"/>
      <c r="K953" s="38"/>
      <c r="L953" s="39"/>
      <c r="M953" s="39"/>
      <c r="N953" s="43"/>
      <c r="O953" s="38"/>
      <c r="P953" s="38"/>
      <c r="Q953" s="41" t="str">
        <f ca="1">IF(emp_db[[#This Row],[Exit Date]]&lt;&gt;"",(emp_db[[#This Row],[Exit Date]]-emp_db[[#This Row],[Column1]])/365,IF(emp_db[[#This Row],[ID]]&lt;&gt;"",(TODAY()-emp_db[[#This Row],[Column1]])/365,""))</f>
        <v/>
      </c>
      <c r="R953" s="42" t="str">
        <f ca="1">IF(emp_db[[#This Row],[Date of Birth]]&lt;&gt;"",(TODAY()-emp_db[[#This Row],[Date of Birth]])/365,"")</f>
        <v/>
      </c>
      <c r="S953" s="42">
        <f>YEAR(emp_db[[#This Row],[Column1]])</f>
        <v>1900</v>
      </c>
      <c r="T953" s="42">
        <f>MONTH(emp_db[[#This Row],[Column1]])</f>
        <v>1</v>
      </c>
      <c r="U953" s="42">
        <f>IFERROR(YEAR(emp_db[[#This Row],[Exit Date]]),"")</f>
        <v>1900</v>
      </c>
      <c r="V953" s="42">
        <f>IFERROR(MONTH(emp_db[[#This Row],[Exit Date]]),"")</f>
        <v>1</v>
      </c>
    </row>
    <row r="954" spans="2:22">
      <c r="B954" s="39"/>
      <c r="C954" s="39"/>
      <c r="D954" s="39"/>
      <c r="E954" s="39"/>
      <c r="F954" s="40"/>
      <c r="G954" s="38"/>
      <c r="H954" s="43"/>
      <c r="I954" s="43"/>
      <c r="J954" s="39"/>
      <c r="K954" s="38"/>
      <c r="L954" s="39"/>
      <c r="M954" s="39"/>
      <c r="N954" s="43"/>
      <c r="O954" s="38"/>
      <c r="P954" s="38"/>
      <c r="Q954" s="41" t="str">
        <f ca="1">IF(emp_db[[#This Row],[Exit Date]]&lt;&gt;"",(emp_db[[#This Row],[Exit Date]]-emp_db[[#This Row],[Column1]])/365,IF(emp_db[[#This Row],[ID]]&lt;&gt;"",(TODAY()-emp_db[[#This Row],[Column1]])/365,""))</f>
        <v/>
      </c>
      <c r="R954" s="42" t="str">
        <f ca="1">IF(emp_db[[#This Row],[Date of Birth]]&lt;&gt;"",(TODAY()-emp_db[[#This Row],[Date of Birth]])/365,"")</f>
        <v/>
      </c>
      <c r="S954" s="42">
        <f>YEAR(emp_db[[#This Row],[Column1]])</f>
        <v>1900</v>
      </c>
      <c r="T954" s="42">
        <f>MONTH(emp_db[[#This Row],[Column1]])</f>
        <v>1</v>
      </c>
      <c r="U954" s="42">
        <f>IFERROR(YEAR(emp_db[[#This Row],[Exit Date]]),"")</f>
        <v>1900</v>
      </c>
      <c r="V954" s="42">
        <f>IFERROR(MONTH(emp_db[[#This Row],[Exit Date]]),"")</f>
        <v>1</v>
      </c>
    </row>
    <row r="955" spans="2:22">
      <c r="B955" s="39"/>
      <c r="C955" s="39"/>
      <c r="D955" s="39"/>
      <c r="E955" s="39"/>
      <c r="F955" s="40"/>
      <c r="G955" s="38"/>
      <c r="H955" s="43"/>
      <c r="I955" s="43"/>
      <c r="J955" s="39"/>
      <c r="K955" s="38"/>
      <c r="L955" s="39"/>
      <c r="M955" s="39"/>
      <c r="N955" s="43"/>
      <c r="O955" s="38"/>
      <c r="P955" s="38"/>
      <c r="Q955" s="41" t="str">
        <f ca="1">IF(emp_db[[#This Row],[Exit Date]]&lt;&gt;"",(emp_db[[#This Row],[Exit Date]]-emp_db[[#This Row],[Column1]])/365,IF(emp_db[[#This Row],[ID]]&lt;&gt;"",(TODAY()-emp_db[[#This Row],[Column1]])/365,""))</f>
        <v/>
      </c>
      <c r="R955" s="42" t="str">
        <f ca="1">IF(emp_db[[#This Row],[Date of Birth]]&lt;&gt;"",(TODAY()-emp_db[[#This Row],[Date of Birth]])/365,"")</f>
        <v/>
      </c>
      <c r="S955" s="42">
        <f>YEAR(emp_db[[#This Row],[Column1]])</f>
        <v>1900</v>
      </c>
      <c r="T955" s="42">
        <f>MONTH(emp_db[[#This Row],[Column1]])</f>
        <v>1</v>
      </c>
      <c r="U955" s="42">
        <f>IFERROR(YEAR(emp_db[[#This Row],[Exit Date]]),"")</f>
        <v>1900</v>
      </c>
      <c r="V955" s="42">
        <f>IFERROR(MONTH(emp_db[[#This Row],[Exit Date]]),"")</f>
        <v>1</v>
      </c>
    </row>
    <row r="956" spans="2:22">
      <c r="B956" s="39"/>
      <c r="C956" s="39"/>
      <c r="D956" s="39"/>
      <c r="E956" s="39"/>
      <c r="F956" s="40"/>
      <c r="G956" s="38"/>
      <c r="H956" s="43"/>
      <c r="I956" s="43"/>
      <c r="J956" s="39"/>
      <c r="K956" s="38"/>
      <c r="L956" s="39"/>
      <c r="M956" s="39"/>
      <c r="N956" s="43"/>
      <c r="O956" s="38"/>
      <c r="P956" s="38"/>
      <c r="Q956" s="41" t="str">
        <f ca="1">IF(emp_db[[#This Row],[Exit Date]]&lt;&gt;"",(emp_db[[#This Row],[Exit Date]]-emp_db[[#This Row],[Column1]])/365,IF(emp_db[[#This Row],[ID]]&lt;&gt;"",(TODAY()-emp_db[[#This Row],[Column1]])/365,""))</f>
        <v/>
      </c>
      <c r="R956" s="42" t="str">
        <f ca="1">IF(emp_db[[#This Row],[Date of Birth]]&lt;&gt;"",(TODAY()-emp_db[[#This Row],[Date of Birth]])/365,"")</f>
        <v/>
      </c>
      <c r="S956" s="42">
        <f>YEAR(emp_db[[#This Row],[Column1]])</f>
        <v>1900</v>
      </c>
      <c r="T956" s="42">
        <f>MONTH(emp_db[[#This Row],[Column1]])</f>
        <v>1</v>
      </c>
      <c r="U956" s="42">
        <f>IFERROR(YEAR(emp_db[[#This Row],[Exit Date]]),"")</f>
        <v>1900</v>
      </c>
      <c r="V956" s="42">
        <f>IFERROR(MONTH(emp_db[[#This Row],[Exit Date]]),"")</f>
        <v>1</v>
      </c>
    </row>
    <row r="957" spans="2:22">
      <c r="B957" s="39"/>
      <c r="C957" s="39"/>
      <c r="D957" s="39"/>
      <c r="E957" s="39"/>
      <c r="F957" s="40"/>
      <c r="G957" s="38"/>
      <c r="H957" s="43"/>
      <c r="I957" s="43"/>
      <c r="J957" s="39"/>
      <c r="K957" s="38"/>
      <c r="L957" s="39"/>
      <c r="M957" s="39"/>
      <c r="N957" s="43"/>
      <c r="O957" s="38"/>
      <c r="P957" s="38"/>
      <c r="Q957" s="41" t="str">
        <f ca="1">IF(emp_db[[#This Row],[Exit Date]]&lt;&gt;"",(emp_db[[#This Row],[Exit Date]]-emp_db[[#This Row],[Column1]])/365,IF(emp_db[[#This Row],[ID]]&lt;&gt;"",(TODAY()-emp_db[[#This Row],[Column1]])/365,""))</f>
        <v/>
      </c>
      <c r="R957" s="42" t="str">
        <f ca="1">IF(emp_db[[#This Row],[Date of Birth]]&lt;&gt;"",(TODAY()-emp_db[[#This Row],[Date of Birth]])/365,"")</f>
        <v/>
      </c>
      <c r="S957" s="42">
        <f>YEAR(emp_db[[#This Row],[Column1]])</f>
        <v>1900</v>
      </c>
      <c r="T957" s="42">
        <f>MONTH(emp_db[[#This Row],[Column1]])</f>
        <v>1</v>
      </c>
      <c r="U957" s="42">
        <f>IFERROR(YEAR(emp_db[[#This Row],[Exit Date]]),"")</f>
        <v>1900</v>
      </c>
      <c r="V957" s="42">
        <f>IFERROR(MONTH(emp_db[[#This Row],[Exit Date]]),"")</f>
        <v>1</v>
      </c>
    </row>
    <row r="958" spans="2:22">
      <c r="B958" s="39"/>
      <c r="C958" s="39"/>
      <c r="D958" s="39"/>
      <c r="E958" s="39"/>
      <c r="F958" s="40"/>
      <c r="G958" s="38"/>
      <c r="H958" s="43"/>
      <c r="I958" s="43"/>
      <c r="J958" s="39"/>
      <c r="K958" s="38"/>
      <c r="L958" s="39"/>
      <c r="M958" s="39"/>
      <c r="N958" s="43"/>
      <c r="O958" s="38"/>
      <c r="P958" s="38"/>
      <c r="Q958" s="41" t="str">
        <f ca="1">IF(emp_db[[#This Row],[Exit Date]]&lt;&gt;"",(emp_db[[#This Row],[Exit Date]]-emp_db[[#This Row],[Column1]])/365,IF(emp_db[[#This Row],[ID]]&lt;&gt;"",(TODAY()-emp_db[[#This Row],[Column1]])/365,""))</f>
        <v/>
      </c>
      <c r="R958" s="42" t="str">
        <f ca="1">IF(emp_db[[#This Row],[Date of Birth]]&lt;&gt;"",(TODAY()-emp_db[[#This Row],[Date of Birth]])/365,"")</f>
        <v/>
      </c>
      <c r="S958" s="42">
        <f>YEAR(emp_db[[#This Row],[Column1]])</f>
        <v>1900</v>
      </c>
      <c r="T958" s="42">
        <f>MONTH(emp_db[[#This Row],[Column1]])</f>
        <v>1</v>
      </c>
      <c r="U958" s="42">
        <f>IFERROR(YEAR(emp_db[[#This Row],[Exit Date]]),"")</f>
        <v>1900</v>
      </c>
      <c r="V958" s="42">
        <f>IFERROR(MONTH(emp_db[[#This Row],[Exit Date]]),"")</f>
        <v>1</v>
      </c>
    </row>
    <row r="959" spans="2:22">
      <c r="B959" s="39"/>
      <c r="C959" s="39"/>
      <c r="D959" s="39"/>
      <c r="E959" s="39"/>
      <c r="F959" s="40"/>
      <c r="G959" s="38"/>
      <c r="H959" s="43"/>
      <c r="I959" s="43"/>
      <c r="J959" s="39"/>
      <c r="K959" s="38"/>
      <c r="L959" s="39"/>
      <c r="M959" s="39"/>
      <c r="N959" s="43"/>
      <c r="O959" s="38"/>
      <c r="P959" s="38"/>
      <c r="Q959" s="41" t="str">
        <f ca="1">IF(emp_db[[#This Row],[Exit Date]]&lt;&gt;"",(emp_db[[#This Row],[Exit Date]]-emp_db[[#This Row],[Column1]])/365,IF(emp_db[[#This Row],[ID]]&lt;&gt;"",(TODAY()-emp_db[[#This Row],[Column1]])/365,""))</f>
        <v/>
      </c>
      <c r="R959" s="42" t="str">
        <f ca="1">IF(emp_db[[#This Row],[Date of Birth]]&lt;&gt;"",(TODAY()-emp_db[[#This Row],[Date of Birth]])/365,"")</f>
        <v/>
      </c>
      <c r="S959" s="42">
        <f>YEAR(emp_db[[#This Row],[Column1]])</f>
        <v>1900</v>
      </c>
      <c r="T959" s="42">
        <f>MONTH(emp_db[[#This Row],[Column1]])</f>
        <v>1</v>
      </c>
      <c r="U959" s="42">
        <f>IFERROR(YEAR(emp_db[[#This Row],[Exit Date]]),"")</f>
        <v>1900</v>
      </c>
      <c r="V959" s="42">
        <f>IFERROR(MONTH(emp_db[[#This Row],[Exit Date]]),"")</f>
        <v>1</v>
      </c>
    </row>
    <row r="960" spans="2:22">
      <c r="B960" s="39"/>
      <c r="C960" s="39"/>
      <c r="D960" s="39"/>
      <c r="E960" s="39"/>
      <c r="F960" s="40"/>
      <c r="G960" s="38"/>
      <c r="H960" s="43"/>
      <c r="I960" s="43"/>
      <c r="J960" s="39"/>
      <c r="K960" s="38"/>
      <c r="L960" s="39"/>
      <c r="M960" s="39"/>
      <c r="N960" s="43"/>
      <c r="O960" s="38"/>
      <c r="P960" s="38"/>
      <c r="Q960" s="41" t="str">
        <f ca="1">IF(emp_db[[#This Row],[Exit Date]]&lt;&gt;"",(emp_db[[#This Row],[Exit Date]]-emp_db[[#This Row],[Column1]])/365,IF(emp_db[[#This Row],[ID]]&lt;&gt;"",(TODAY()-emp_db[[#This Row],[Column1]])/365,""))</f>
        <v/>
      </c>
      <c r="R960" s="42" t="str">
        <f ca="1">IF(emp_db[[#This Row],[Date of Birth]]&lt;&gt;"",(TODAY()-emp_db[[#This Row],[Date of Birth]])/365,"")</f>
        <v/>
      </c>
      <c r="S960" s="42">
        <f>YEAR(emp_db[[#This Row],[Column1]])</f>
        <v>1900</v>
      </c>
      <c r="T960" s="42">
        <f>MONTH(emp_db[[#This Row],[Column1]])</f>
        <v>1</v>
      </c>
      <c r="U960" s="42">
        <f>IFERROR(YEAR(emp_db[[#This Row],[Exit Date]]),"")</f>
        <v>1900</v>
      </c>
      <c r="V960" s="42">
        <f>IFERROR(MONTH(emp_db[[#This Row],[Exit Date]]),"")</f>
        <v>1</v>
      </c>
    </row>
    <row r="961" spans="2:22">
      <c r="B961" s="39"/>
      <c r="C961" s="39"/>
      <c r="D961" s="39"/>
      <c r="E961" s="39"/>
      <c r="F961" s="40"/>
      <c r="G961" s="38"/>
      <c r="H961" s="43"/>
      <c r="I961" s="43"/>
      <c r="J961" s="39"/>
      <c r="K961" s="38"/>
      <c r="L961" s="39"/>
      <c r="M961" s="39"/>
      <c r="N961" s="43"/>
      <c r="O961" s="38"/>
      <c r="P961" s="38"/>
      <c r="Q961" s="41" t="str">
        <f ca="1">IF(emp_db[[#This Row],[Exit Date]]&lt;&gt;"",(emp_db[[#This Row],[Exit Date]]-emp_db[[#This Row],[Column1]])/365,IF(emp_db[[#This Row],[ID]]&lt;&gt;"",(TODAY()-emp_db[[#This Row],[Column1]])/365,""))</f>
        <v/>
      </c>
      <c r="R961" s="42" t="str">
        <f ca="1">IF(emp_db[[#This Row],[Date of Birth]]&lt;&gt;"",(TODAY()-emp_db[[#This Row],[Date of Birth]])/365,"")</f>
        <v/>
      </c>
      <c r="S961" s="42">
        <f>YEAR(emp_db[[#This Row],[Column1]])</f>
        <v>1900</v>
      </c>
      <c r="T961" s="42">
        <f>MONTH(emp_db[[#This Row],[Column1]])</f>
        <v>1</v>
      </c>
      <c r="U961" s="42">
        <f>IFERROR(YEAR(emp_db[[#This Row],[Exit Date]]),"")</f>
        <v>1900</v>
      </c>
      <c r="V961" s="42">
        <f>IFERROR(MONTH(emp_db[[#This Row],[Exit Date]]),"")</f>
        <v>1</v>
      </c>
    </row>
    <row r="962" spans="2:22">
      <c r="B962" s="39"/>
      <c r="C962" s="39"/>
      <c r="D962" s="39"/>
      <c r="E962" s="39"/>
      <c r="F962" s="40"/>
      <c r="G962" s="38"/>
      <c r="H962" s="43"/>
      <c r="I962" s="43"/>
      <c r="J962" s="39"/>
      <c r="K962" s="38"/>
      <c r="L962" s="39"/>
      <c r="M962" s="39"/>
      <c r="N962" s="43"/>
      <c r="O962" s="38"/>
      <c r="P962" s="38"/>
      <c r="Q962" s="41" t="str">
        <f ca="1">IF(emp_db[[#This Row],[Exit Date]]&lt;&gt;"",(emp_db[[#This Row],[Exit Date]]-emp_db[[#This Row],[Column1]])/365,IF(emp_db[[#This Row],[ID]]&lt;&gt;"",(TODAY()-emp_db[[#This Row],[Column1]])/365,""))</f>
        <v/>
      </c>
      <c r="R962" s="42" t="str">
        <f ca="1">IF(emp_db[[#This Row],[Date of Birth]]&lt;&gt;"",(TODAY()-emp_db[[#This Row],[Date of Birth]])/365,"")</f>
        <v/>
      </c>
      <c r="S962" s="42">
        <f>YEAR(emp_db[[#This Row],[Column1]])</f>
        <v>1900</v>
      </c>
      <c r="T962" s="42">
        <f>MONTH(emp_db[[#This Row],[Column1]])</f>
        <v>1</v>
      </c>
      <c r="U962" s="42">
        <f>IFERROR(YEAR(emp_db[[#This Row],[Exit Date]]),"")</f>
        <v>1900</v>
      </c>
      <c r="V962" s="42">
        <f>IFERROR(MONTH(emp_db[[#This Row],[Exit Date]]),"")</f>
        <v>1</v>
      </c>
    </row>
    <row r="963" spans="2:22">
      <c r="B963" s="39"/>
      <c r="C963" s="39"/>
      <c r="D963" s="39"/>
      <c r="E963" s="39"/>
      <c r="F963" s="40"/>
      <c r="G963" s="38"/>
      <c r="H963" s="43"/>
      <c r="I963" s="43"/>
      <c r="J963" s="39"/>
      <c r="K963" s="38"/>
      <c r="L963" s="39"/>
      <c r="M963" s="39"/>
      <c r="N963" s="43"/>
      <c r="O963" s="38"/>
      <c r="P963" s="38"/>
      <c r="Q963" s="41" t="str">
        <f ca="1">IF(emp_db[[#This Row],[Exit Date]]&lt;&gt;"",(emp_db[[#This Row],[Exit Date]]-emp_db[[#This Row],[Column1]])/365,IF(emp_db[[#This Row],[ID]]&lt;&gt;"",(TODAY()-emp_db[[#This Row],[Column1]])/365,""))</f>
        <v/>
      </c>
      <c r="R963" s="42" t="str">
        <f ca="1">IF(emp_db[[#This Row],[Date of Birth]]&lt;&gt;"",(TODAY()-emp_db[[#This Row],[Date of Birth]])/365,"")</f>
        <v/>
      </c>
      <c r="S963" s="42">
        <f>YEAR(emp_db[[#This Row],[Column1]])</f>
        <v>1900</v>
      </c>
      <c r="T963" s="42">
        <f>MONTH(emp_db[[#This Row],[Column1]])</f>
        <v>1</v>
      </c>
      <c r="U963" s="42">
        <f>IFERROR(YEAR(emp_db[[#This Row],[Exit Date]]),"")</f>
        <v>1900</v>
      </c>
      <c r="V963" s="42">
        <f>IFERROR(MONTH(emp_db[[#This Row],[Exit Date]]),"")</f>
        <v>1</v>
      </c>
    </row>
    <row r="964" spans="2:22">
      <c r="B964" s="39"/>
      <c r="C964" s="39"/>
      <c r="D964" s="39"/>
      <c r="E964" s="39"/>
      <c r="F964" s="40"/>
      <c r="G964" s="38"/>
      <c r="H964" s="43"/>
      <c r="I964" s="43"/>
      <c r="J964" s="39"/>
      <c r="K964" s="38"/>
      <c r="L964" s="39"/>
      <c r="M964" s="39"/>
      <c r="N964" s="43"/>
      <c r="O964" s="38"/>
      <c r="P964" s="38"/>
      <c r="Q964" s="41" t="str">
        <f ca="1">IF(emp_db[[#This Row],[Exit Date]]&lt;&gt;"",(emp_db[[#This Row],[Exit Date]]-emp_db[[#This Row],[Column1]])/365,IF(emp_db[[#This Row],[ID]]&lt;&gt;"",(TODAY()-emp_db[[#This Row],[Column1]])/365,""))</f>
        <v/>
      </c>
      <c r="R964" s="42" t="str">
        <f ca="1">IF(emp_db[[#This Row],[Date of Birth]]&lt;&gt;"",(TODAY()-emp_db[[#This Row],[Date of Birth]])/365,"")</f>
        <v/>
      </c>
      <c r="S964" s="42">
        <f>YEAR(emp_db[[#This Row],[Column1]])</f>
        <v>1900</v>
      </c>
      <c r="T964" s="42">
        <f>MONTH(emp_db[[#This Row],[Column1]])</f>
        <v>1</v>
      </c>
      <c r="U964" s="42">
        <f>IFERROR(YEAR(emp_db[[#This Row],[Exit Date]]),"")</f>
        <v>1900</v>
      </c>
      <c r="V964" s="42">
        <f>IFERROR(MONTH(emp_db[[#This Row],[Exit Date]]),"")</f>
        <v>1</v>
      </c>
    </row>
    <row r="965" spans="2:22">
      <c r="B965" s="39"/>
      <c r="C965" s="39"/>
      <c r="D965" s="39"/>
      <c r="E965" s="39"/>
      <c r="F965" s="40"/>
      <c r="G965" s="38"/>
      <c r="H965" s="43"/>
      <c r="I965" s="43"/>
      <c r="J965" s="39"/>
      <c r="K965" s="38"/>
      <c r="L965" s="39"/>
      <c r="M965" s="39"/>
      <c r="N965" s="43"/>
      <c r="O965" s="38"/>
      <c r="P965" s="38"/>
      <c r="Q965" s="41" t="str">
        <f ca="1">IF(emp_db[[#This Row],[Exit Date]]&lt;&gt;"",(emp_db[[#This Row],[Exit Date]]-emp_db[[#This Row],[Column1]])/365,IF(emp_db[[#This Row],[ID]]&lt;&gt;"",(TODAY()-emp_db[[#This Row],[Column1]])/365,""))</f>
        <v/>
      </c>
      <c r="R965" s="42" t="str">
        <f ca="1">IF(emp_db[[#This Row],[Date of Birth]]&lt;&gt;"",(TODAY()-emp_db[[#This Row],[Date of Birth]])/365,"")</f>
        <v/>
      </c>
      <c r="S965" s="42">
        <f>YEAR(emp_db[[#This Row],[Column1]])</f>
        <v>1900</v>
      </c>
      <c r="T965" s="42">
        <f>MONTH(emp_db[[#This Row],[Column1]])</f>
        <v>1</v>
      </c>
      <c r="U965" s="42">
        <f>IFERROR(YEAR(emp_db[[#This Row],[Exit Date]]),"")</f>
        <v>1900</v>
      </c>
      <c r="V965" s="42">
        <f>IFERROR(MONTH(emp_db[[#This Row],[Exit Date]]),"")</f>
        <v>1</v>
      </c>
    </row>
    <row r="966" spans="2:22">
      <c r="B966" s="39"/>
      <c r="C966" s="39"/>
      <c r="D966" s="39"/>
      <c r="E966" s="39"/>
      <c r="F966" s="40"/>
      <c r="G966" s="38"/>
      <c r="H966" s="43"/>
      <c r="I966" s="43"/>
      <c r="J966" s="39"/>
      <c r="K966" s="38"/>
      <c r="L966" s="39"/>
      <c r="M966" s="39"/>
      <c r="N966" s="43"/>
      <c r="O966" s="38"/>
      <c r="P966" s="38"/>
      <c r="Q966" s="41" t="str">
        <f ca="1">IF(emp_db[[#This Row],[Exit Date]]&lt;&gt;"",(emp_db[[#This Row],[Exit Date]]-emp_db[[#This Row],[Column1]])/365,IF(emp_db[[#This Row],[ID]]&lt;&gt;"",(TODAY()-emp_db[[#This Row],[Column1]])/365,""))</f>
        <v/>
      </c>
      <c r="R966" s="42" t="str">
        <f ca="1">IF(emp_db[[#This Row],[Date of Birth]]&lt;&gt;"",(TODAY()-emp_db[[#This Row],[Date of Birth]])/365,"")</f>
        <v/>
      </c>
      <c r="S966" s="42">
        <f>YEAR(emp_db[[#This Row],[Column1]])</f>
        <v>1900</v>
      </c>
      <c r="T966" s="42">
        <f>MONTH(emp_db[[#This Row],[Column1]])</f>
        <v>1</v>
      </c>
      <c r="U966" s="42">
        <f>IFERROR(YEAR(emp_db[[#This Row],[Exit Date]]),"")</f>
        <v>1900</v>
      </c>
      <c r="V966" s="42">
        <f>IFERROR(MONTH(emp_db[[#This Row],[Exit Date]]),"")</f>
        <v>1</v>
      </c>
    </row>
    <row r="967" spans="2:22">
      <c r="B967" s="39"/>
      <c r="C967" s="39"/>
      <c r="D967" s="39"/>
      <c r="E967" s="39"/>
      <c r="F967" s="40"/>
      <c r="G967" s="38"/>
      <c r="H967" s="43"/>
      <c r="I967" s="43"/>
      <c r="J967" s="39"/>
      <c r="K967" s="38"/>
      <c r="L967" s="39"/>
      <c r="M967" s="39"/>
      <c r="N967" s="43"/>
      <c r="O967" s="38"/>
      <c r="P967" s="38"/>
      <c r="Q967" s="41" t="str">
        <f ca="1">IF(emp_db[[#This Row],[Exit Date]]&lt;&gt;"",(emp_db[[#This Row],[Exit Date]]-emp_db[[#This Row],[Column1]])/365,IF(emp_db[[#This Row],[ID]]&lt;&gt;"",(TODAY()-emp_db[[#This Row],[Column1]])/365,""))</f>
        <v/>
      </c>
      <c r="R967" s="42" t="str">
        <f ca="1">IF(emp_db[[#This Row],[Date of Birth]]&lt;&gt;"",(TODAY()-emp_db[[#This Row],[Date of Birth]])/365,"")</f>
        <v/>
      </c>
      <c r="S967" s="42">
        <f>YEAR(emp_db[[#This Row],[Column1]])</f>
        <v>1900</v>
      </c>
      <c r="T967" s="42">
        <f>MONTH(emp_db[[#This Row],[Column1]])</f>
        <v>1</v>
      </c>
      <c r="U967" s="42">
        <f>IFERROR(YEAR(emp_db[[#This Row],[Exit Date]]),"")</f>
        <v>1900</v>
      </c>
      <c r="V967" s="42">
        <f>IFERROR(MONTH(emp_db[[#This Row],[Exit Date]]),"")</f>
        <v>1</v>
      </c>
    </row>
    <row r="968" spans="2:22">
      <c r="B968" s="39"/>
      <c r="C968" s="39"/>
      <c r="D968" s="39"/>
      <c r="E968" s="39"/>
      <c r="F968" s="40"/>
      <c r="G968" s="38"/>
      <c r="H968" s="43"/>
      <c r="I968" s="43"/>
      <c r="J968" s="39"/>
      <c r="K968" s="38"/>
      <c r="L968" s="39"/>
      <c r="M968" s="39"/>
      <c r="N968" s="43"/>
      <c r="O968" s="38"/>
      <c r="P968" s="38"/>
      <c r="Q968" s="41" t="str">
        <f ca="1">IF(emp_db[[#This Row],[Exit Date]]&lt;&gt;"",(emp_db[[#This Row],[Exit Date]]-emp_db[[#This Row],[Column1]])/365,IF(emp_db[[#This Row],[ID]]&lt;&gt;"",(TODAY()-emp_db[[#This Row],[Column1]])/365,""))</f>
        <v/>
      </c>
      <c r="R968" s="42" t="str">
        <f ca="1">IF(emp_db[[#This Row],[Date of Birth]]&lt;&gt;"",(TODAY()-emp_db[[#This Row],[Date of Birth]])/365,"")</f>
        <v/>
      </c>
      <c r="S968" s="42">
        <f>YEAR(emp_db[[#This Row],[Column1]])</f>
        <v>1900</v>
      </c>
      <c r="T968" s="42">
        <f>MONTH(emp_db[[#This Row],[Column1]])</f>
        <v>1</v>
      </c>
      <c r="U968" s="42">
        <f>IFERROR(YEAR(emp_db[[#This Row],[Exit Date]]),"")</f>
        <v>1900</v>
      </c>
      <c r="V968" s="42">
        <f>IFERROR(MONTH(emp_db[[#This Row],[Exit Date]]),"")</f>
        <v>1</v>
      </c>
    </row>
    <row r="969" spans="2:22">
      <c r="B969" s="39"/>
      <c r="C969" s="39"/>
      <c r="D969" s="39"/>
      <c r="E969" s="39"/>
      <c r="F969" s="40"/>
      <c r="G969" s="38"/>
      <c r="H969" s="43"/>
      <c r="I969" s="43"/>
      <c r="J969" s="39"/>
      <c r="K969" s="38"/>
      <c r="L969" s="39"/>
      <c r="M969" s="39"/>
      <c r="N969" s="43"/>
      <c r="O969" s="38"/>
      <c r="P969" s="38"/>
      <c r="Q969" s="41" t="str">
        <f ca="1">IF(emp_db[[#This Row],[Exit Date]]&lt;&gt;"",(emp_db[[#This Row],[Exit Date]]-emp_db[[#This Row],[Column1]])/365,IF(emp_db[[#This Row],[ID]]&lt;&gt;"",(TODAY()-emp_db[[#This Row],[Column1]])/365,""))</f>
        <v/>
      </c>
      <c r="R969" s="42" t="str">
        <f ca="1">IF(emp_db[[#This Row],[Date of Birth]]&lt;&gt;"",(TODAY()-emp_db[[#This Row],[Date of Birth]])/365,"")</f>
        <v/>
      </c>
      <c r="S969" s="42">
        <f>YEAR(emp_db[[#This Row],[Column1]])</f>
        <v>1900</v>
      </c>
      <c r="T969" s="42">
        <f>MONTH(emp_db[[#This Row],[Column1]])</f>
        <v>1</v>
      </c>
      <c r="U969" s="42">
        <f>IFERROR(YEAR(emp_db[[#This Row],[Exit Date]]),"")</f>
        <v>1900</v>
      </c>
      <c r="V969" s="42">
        <f>IFERROR(MONTH(emp_db[[#This Row],[Exit Date]]),"")</f>
        <v>1</v>
      </c>
    </row>
    <row r="970" spans="2:22">
      <c r="B970" s="39"/>
      <c r="C970" s="39"/>
      <c r="D970" s="39"/>
      <c r="E970" s="39"/>
      <c r="F970" s="40"/>
      <c r="G970" s="38"/>
      <c r="H970" s="43"/>
      <c r="I970" s="43"/>
      <c r="J970" s="39"/>
      <c r="K970" s="38"/>
      <c r="L970" s="39"/>
      <c r="M970" s="39"/>
      <c r="N970" s="43"/>
      <c r="O970" s="38"/>
      <c r="P970" s="38"/>
      <c r="Q970" s="41" t="str">
        <f ca="1">IF(emp_db[[#This Row],[Exit Date]]&lt;&gt;"",(emp_db[[#This Row],[Exit Date]]-emp_db[[#This Row],[Column1]])/365,IF(emp_db[[#This Row],[ID]]&lt;&gt;"",(TODAY()-emp_db[[#This Row],[Column1]])/365,""))</f>
        <v/>
      </c>
      <c r="R970" s="42" t="str">
        <f ca="1">IF(emp_db[[#This Row],[Date of Birth]]&lt;&gt;"",(TODAY()-emp_db[[#This Row],[Date of Birth]])/365,"")</f>
        <v/>
      </c>
      <c r="S970" s="42">
        <f>YEAR(emp_db[[#This Row],[Column1]])</f>
        <v>1900</v>
      </c>
      <c r="T970" s="42">
        <f>MONTH(emp_db[[#This Row],[Column1]])</f>
        <v>1</v>
      </c>
      <c r="U970" s="42">
        <f>IFERROR(YEAR(emp_db[[#This Row],[Exit Date]]),"")</f>
        <v>1900</v>
      </c>
      <c r="V970" s="42">
        <f>IFERROR(MONTH(emp_db[[#This Row],[Exit Date]]),"")</f>
        <v>1</v>
      </c>
    </row>
    <row r="971" spans="2:22">
      <c r="B971" s="39"/>
      <c r="C971" s="39"/>
      <c r="D971" s="39"/>
      <c r="E971" s="39"/>
      <c r="F971" s="40"/>
      <c r="G971" s="38"/>
      <c r="H971" s="43"/>
      <c r="I971" s="43"/>
      <c r="J971" s="39"/>
      <c r="K971" s="38"/>
      <c r="L971" s="39"/>
      <c r="M971" s="39"/>
      <c r="N971" s="43"/>
      <c r="O971" s="38"/>
      <c r="P971" s="38"/>
      <c r="Q971" s="41" t="str">
        <f ca="1">IF(emp_db[[#This Row],[Exit Date]]&lt;&gt;"",(emp_db[[#This Row],[Exit Date]]-emp_db[[#This Row],[Column1]])/365,IF(emp_db[[#This Row],[ID]]&lt;&gt;"",(TODAY()-emp_db[[#This Row],[Column1]])/365,""))</f>
        <v/>
      </c>
      <c r="R971" s="42" t="str">
        <f ca="1">IF(emp_db[[#This Row],[Date of Birth]]&lt;&gt;"",(TODAY()-emp_db[[#This Row],[Date of Birth]])/365,"")</f>
        <v/>
      </c>
      <c r="S971" s="42">
        <f>YEAR(emp_db[[#This Row],[Column1]])</f>
        <v>1900</v>
      </c>
      <c r="T971" s="42">
        <f>MONTH(emp_db[[#This Row],[Column1]])</f>
        <v>1</v>
      </c>
      <c r="U971" s="42">
        <f>IFERROR(YEAR(emp_db[[#This Row],[Exit Date]]),"")</f>
        <v>1900</v>
      </c>
      <c r="V971" s="42">
        <f>IFERROR(MONTH(emp_db[[#This Row],[Exit Date]]),"")</f>
        <v>1</v>
      </c>
    </row>
    <row r="972" spans="2:22">
      <c r="B972" s="39"/>
      <c r="C972" s="39"/>
      <c r="D972" s="39"/>
      <c r="E972" s="39"/>
      <c r="F972" s="40"/>
      <c r="G972" s="38"/>
      <c r="H972" s="43"/>
      <c r="I972" s="43"/>
      <c r="J972" s="39"/>
      <c r="K972" s="38"/>
      <c r="L972" s="39"/>
      <c r="M972" s="39"/>
      <c r="N972" s="43"/>
      <c r="O972" s="38"/>
      <c r="P972" s="38"/>
      <c r="Q972" s="41" t="str">
        <f ca="1">IF(emp_db[[#This Row],[Exit Date]]&lt;&gt;"",(emp_db[[#This Row],[Exit Date]]-emp_db[[#This Row],[Column1]])/365,IF(emp_db[[#This Row],[ID]]&lt;&gt;"",(TODAY()-emp_db[[#This Row],[Column1]])/365,""))</f>
        <v/>
      </c>
      <c r="R972" s="42" t="str">
        <f ca="1">IF(emp_db[[#This Row],[Date of Birth]]&lt;&gt;"",(TODAY()-emp_db[[#This Row],[Date of Birth]])/365,"")</f>
        <v/>
      </c>
      <c r="S972" s="42">
        <f>YEAR(emp_db[[#This Row],[Column1]])</f>
        <v>1900</v>
      </c>
      <c r="T972" s="42">
        <f>MONTH(emp_db[[#This Row],[Column1]])</f>
        <v>1</v>
      </c>
      <c r="U972" s="42">
        <f>IFERROR(YEAR(emp_db[[#This Row],[Exit Date]]),"")</f>
        <v>1900</v>
      </c>
      <c r="V972" s="42">
        <f>IFERROR(MONTH(emp_db[[#This Row],[Exit Date]]),"")</f>
        <v>1</v>
      </c>
    </row>
    <row r="973" spans="2:22">
      <c r="B973" s="39"/>
      <c r="C973" s="39"/>
      <c r="D973" s="39"/>
      <c r="E973" s="39"/>
      <c r="F973" s="40"/>
      <c r="G973" s="38"/>
      <c r="H973" s="43"/>
      <c r="I973" s="43"/>
      <c r="J973" s="39"/>
      <c r="K973" s="38"/>
      <c r="L973" s="39"/>
      <c r="M973" s="39"/>
      <c r="N973" s="43"/>
      <c r="O973" s="38"/>
      <c r="P973" s="38"/>
      <c r="Q973" s="41" t="str">
        <f ca="1">IF(emp_db[[#This Row],[Exit Date]]&lt;&gt;"",(emp_db[[#This Row],[Exit Date]]-emp_db[[#This Row],[Column1]])/365,IF(emp_db[[#This Row],[ID]]&lt;&gt;"",(TODAY()-emp_db[[#This Row],[Column1]])/365,""))</f>
        <v/>
      </c>
      <c r="R973" s="42" t="str">
        <f ca="1">IF(emp_db[[#This Row],[Date of Birth]]&lt;&gt;"",(TODAY()-emp_db[[#This Row],[Date of Birth]])/365,"")</f>
        <v/>
      </c>
      <c r="S973" s="42">
        <f>YEAR(emp_db[[#This Row],[Column1]])</f>
        <v>1900</v>
      </c>
      <c r="T973" s="42">
        <f>MONTH(emp_db[[#This Row],[Column1]])</f>
        <v>1</v>
      </c>
      <c r="U973" s="42">
        <f>IFERROR(YEAR(emp_db[[#This Row],[Exit Date]]),"")</f>
        <v>1900</v>
      </c>
      <c r="V973" s="42">
        <f>IFERROR(MONTH(emp_db[[#This Row],[Exit Date]]),"")</f>
        <v>1</v>
      </c>
    </row>
    <row r="974" spans="2:22">
      <c r="B974" s="39"/>
      <c r="C974" s="39"/>
      <c r="D974" s="39"/>
      <c r="E974" s="39"/>
      <c r="F974" s="40"/>
      <c r="G974" s="38"/>
      <c r="H974" s="43"/>
      <c r="I974" s="43"/>
      <c r="J974" s="39"/>
      <c r="K974" s="38"/>
      <c r="L974" s="39"/>
      <c r="M974" s="39"/>
      <c r="N974" s="43"/>
      <c r="O974" s="38"/>
      <c r="P974" s="38"/>
      <c r="Q974" s="41" t="str">
        <f ca="1">IF(emp_db[[#This Row],[Exit Date]]&lt;&gt;"",(emp_db[[#This Row],[Exit Date]]-emp_db[[#This Row],[Column1]])/365,IF(emp_db[[#This Row],[ID]]&lt;&gt;"",(TODAY()-emp_db[[#This Row],[Column1]])/365,""))</f>
        <v/>
      </c>
      <c r="R974" s="42" t="str">
        <f ca="1">IF(emp_db[[#This Row],[Date of Birth]]&lt;&gt;"",(TODAY()-emp_db[[#This Row],[Date of Birth]])/365,"")</f>
        <v/>
      </c>
      <c r="S974" s="42">
        <f>YEAR(emp_db[[#This Row],[Column1]])</f>
        <v>1900</v>
      </c>
      <c r="T974" s="42">
        <f>MONTH(emp_db[[#This Row],[Column1]])</f>
        <v>1</v>
      </c>
      <c r="U974" s="42">
        <f>IFERROR(YEAR(emp_db[[#This Row],[Exit Date]]),"")</f>
        <v>1900</v>
      </c>
      <c r="V974" s="42">
        <f>IFERROR(MONTH(emp_db[[#This Row],[Exit Date]]),"")</f>
        <v>1</v>
      </c>
    </row>
    <row r="975" spans="2:22">
      <c r="B975" s="39"/>
      <c r="C975" s="39"/>
      <c r="D975" s="39"/>
      <c r="E975" s="39"/>
      <c r="F975" s="40"/>
      <c r="G975" s="38"/>
      <c r="H975" s="43"/>
      <c r="I975" s="43"/>
      <c r="J975" s="39"/>
      <c r="K975" s="38"/>
      <c r="L975" s="39"/>
      <c r="M975" s="39"/>
      <c r="N975" s="43"/>
      <c r="O975" s="38"/>
      <c r="P975" s="38"/>
      <c r="Q975" s="41" t="str">
        <f ca="1">IF(emp_db[[#This Row],[Exit Date]]&lt;&gt;"",(emp_db[[#This Row],[Exit Date]]-emp_db[[#This Row],[Column1]])/365,IF(emp_db[[#This Row],[ID]]&lt;&gt;"",(TODAY()-emp_db[[#This Row],[Column1]])/365,""))</f>
        <v/>
      </c>
      <c r="R975" s="42" t="str">
        <f ca="1">IF(emp_db[[#This Row],[Date of Birth]]&lt;&gt;"",(TODAY()-emp_db[[#This Row],[Date of Birth]])/365,"")</f>
        <v/>
      </c>
      <c r="S975" s="42">
        <f>YEAR(emp_db[[#This Row],[Column1]])</f>
        <v>1900</v>
      </c>
      <c r="T975" s="42">
        <f>MONTH(emp_db[[#This Row],[Column1]])</f>
        <v>1</v>
      </c>
      <c r="U975" s="42">
        <f>IFERROR(YEAR(emp_db[[#This Row],[Exit Date]]),"")</f>
        <v>1900</v>
      </c>
      <c r="V975" s="42">
        <f>IFERROR(MONTH(emp_db[[#This Row],[Exit Date]]),"")</f>
        <v>1</v>
      </c>
    </row>
    <row r="976" spans="2:22">
      <c r="B976" s="39"/>
      <c r="C976" s="39"/>
      <c r="D976" s="39"/>
      <c r="E976" s="39"/>
      <c r="F976" s="40"/>
      <c r="G976" s="38"/>
      <c r="H976" s="43"/>
      <c r="I976" s="43"/>
      <c r="J976" s="39"/>
      <c r="K976" s="38"/>
      <c r="L976" s="39"/>
      <c r="M976" s="39"/>
      <c r="N976" s="43"/>
      <c r="O976" s="38"/>
      <c r="P976" s="38"/>
      <c r="Q976" s="41" t="str">
        <f ca="1">IF(emp_db[[#This Row],[Exit Date]]&lt;&gt;"",(emp_db[[#This Row],[Exit Date]]-emp_db[[#This Row],[Column1]])/365,IF(emp_db[[#This Row],[ID]]&lt;&gt;"",(TODAY()-emp_db[[#This Row],[Column1]])/365,""))</f>
        <v/>
      </c>
      <c r="R976" s="42" t="str">
        <f ca="1">IF(emp_db[[#This Row],[Date of Birth]]&lt;&gt;"",(TODAY()-emp_db[[#This Row],[Date of Birth]])/365,"")</f>
        <v/>
      </c>
      <c r="S976" s="42">
        <f>YEAR(emp_db[[#This Row],[Column1]])</f>
        <v>1900</v>
      </c>
      <c r="T976" s="42">
        <f>MONTH(emp_db[[#This Row],[Column1]])</f>
        <v>1</v>
      </c>
      <c r="U976" s="42">
        <f>IFERROR(YEAR(emp_db[[#This Row],[Exit Date]]),"")</f>
        <v>1900</v>
      </c>
      <c r="V976" s="42">
        <f>IFERROR(MONTH(emp_db[[#This Row],[Exit Date]]),"")</f>
        <v>1</v>
      </c>
    </row>
    <row r="977" spans="2:22">
      <c r="B977" s="39"/>
      <c r="C977" s="39"/>
      <c r="D977" s="39"/>
      <c r="E977" s="39"/>
      <c r="F977" s="40"/>
      <c r="G977" s="38"/>
      <c r="H977" s="43"/>
      <c r="I977" s="43"/>
      <c r="J977" s="39"/>
      <c r="K977" s="38"/>
      <c r="L977" s="39"/>
      <c r="M977" s="39"/>
      <c r="N977" s="43"/>
      <c r="O977" s="38"/>
      <c r="P977" s="38"/>
      <c r="Q977" s="41" t="str">
        <f ca="1">IF(emp_db[[#This Row],[Exit Date]]&lt;&gt;"",(emp_db[[#This Row],[Exit Date]]-emp_db[[#This Row],[Column1]])/365,IF(emp_db[[#This Row],[ID]]&lt;&gt;"",(TODAY()-emp_db[[#This Row],[Column1]])/365,""))</f>
        <v/>
      </c>
      <c r="R977" s="42" t="str">
        <f ca="1">IF(emp_db[[#This Row],[Date of Birth]]&lt;&gt;"",(TODAY()-emp_db[[#This Row],[Date of Birth]])/365,"")</f>
        <v/>
      </c>
      <c r="S977" s="42">
        <f>YEAR(emp_db[[#This Row],[Column1]])</f>
        <v>1900</v>
      </c>
      <c r="T977" s="42">
        <f>MONTH(emp_db[[#This Row],[Column1]])</f>
        <v>1</v>
      </c>
      <c r="U977" s="42">
        <f>IFERROR(YEAR(emp_db[[#This Row],[Exit Date]]),"")</f>
        <v>1900</v>
      </c>
      <c r="V977" s="42">
        <f>IFERROR(MONTH(emp_db[[#This Row],[Exit Date]]),"")</f>
        <v>1</v>
      </c>
    </row>
    <row r="978" spans="2:22">
      <c r="B978" s="39"/>
      <c r="C978" s="39"/>
      <c r="D978" s="39"/>
      <c r="E978" s="39"/>
      <c r="F978" s="40"/>
      <c r="G978" s="38"/>
      <c r="H978" s="43"/>
      <c r="I978" s="43"/>
      <c r="J978" s="39"/>
      <c r="K978" s="38"/>
      <c r="L978" s="39"/>
      <c r="M978" s="39"/>
      <c r="N978" s="43"/>
      <c r="O978" s="38"/>
      <c r="P978" s="38"/>
      <c r="Q978" s="41" t="str">
        <f ca="1">IF(emp_db[[#This Row],[Exit Date]]&lt;&gt;"",(emp_db[[#This Row],[Exit Date]]-emp_db[[#This Row],[Column1]])/365,IF(emp_db[[#This Row],[ID]]&lt;&gt;"",(TODAY()-emp_db[[#This Row],[Column1]])/365,""))</f>
        <v/>
      </c>
      <c r="R978" s="42" t="str">
        <f ca="1">IF(emp_db[[#This Row],[Date of Birth]]&lt;&gt;"",(TODAY()-emp_db[[#This Row],[Date of Birth]])/365,"")</f>
        <v/>
      </c>
      <c r="S978" s="42">
        <f>YEAR(emp_db[[#This Row],[Column1]])</f>
        <v>1900</v>
      </c>
      <c r="T978" s="42">
        <f>MONTH(emp_db[[#This Row],[Column1]])</f>
        <v>1</v>
      </c>
      <c r="U978" s="42">
        <f>IFERROR(YEAR(emp_db[[#This Row],[Exit Date]]),"")</f>
        <v>1900</v>
      </c>
      <c r="V978" s="42">
        <f>IFERROR(MONTH(emp_db[[#This Row],[Exit Date]]),"")</f>
        <v>1</v>
      </c>
    </row>
    <row r="979" spans="2:22">
      <c r="B979" s="39"/>
      <c r="C979" s="39"/>
      <c r="D979" s="39"/>
      <c r="E979" s="39"/>
      <c r="F979" s="40"/>
      <c r="G979" s="38"/>
      <c r="H979" s="43"/>
      <c r="I979" s="43"/>
      <c r="J979" s="39"/>
      <c r="K979" s="38"/>
      <c r="L979" s="39"/>
      <c r="M979" s="39"/>
      <c r="N979" s="43"/>
      <c r="O979" s="38"/>
      <c r="P979" s="38"/>
      <c r="Q979" s="41" t="str">
        <f ca="1">IF(emp_db[[#This Row],[Exit Date]]&lt;&gt;"",(emp_db[[#This Row],[Exit Date]]-emp_db[[#This Row],[Column1]])/365,IF(emp_db[[#This Row],[ID]]&lt;&gt;"",(TODAY()-emp_db[[#This Row],[Column1]])/365,""))</f>
        <v/>
      </c>
      <c r="R979" s="42" t="str">
        <f ca="1">IF(emp_db[[#This Row],[Date of Birth]]&lt;&gt;"",(TODAY()-emp_db[[#This Row],[Date of Birth]])/365,"")</f>
        <v/>
      </c>
      <c r="S979" s="42">
        <f>YEAR(emp_db[[#This Row],[Column1]])</f>
        <v>1900</v>
      </c>
      <c r="T979" s="42">
        <f>MONTH(emp_db[[#This Row],[Column1]])</f>
        <v>1</v>
      </c>
      <c r="U979" s="42">
        <f>IFERROR(YEAR(emp_db[[#This Row],[Exit Date]]),"")</f>
        <v>1900</v>
      </c>
      <c r="V979" s="42">
        <f>IFERROR(MONTH(emp_db[[#This Row],[Exit Date]]),"")</f>
        <v>1</v>
      </c>
    </row>
    <row r="980" spans="2:22">
      <c r="B980" s="39"/>
      <c r="C980" s="39"/>
      <c r="D980" s="39"/>
      <c r="E980" s="39"/>
      <c r="F980" s="40"/>
      <c r="G980" s="38"/>
      <c r="H980" s="43"/>
      <c r="I980" s="43"/>
      <c r="J980" s="39"/>
      <c r="K980" s="38"/>
      <c r="L980" s="39"/>
      <c r="M980" s="39"/>
      <c r="N980" s="43"/>
      <c r="O980" s="38"/>
      <c r="P980" s="38"/>
      <c r="Q980" s="41" t="str">
        <f ca="1">IF(emp_db[[#This Row],[Exit Date]]&lt;&gt;"",(emp_db[[#This Row],[Exit Date]]-emp_db[[#This Row],[Column1]])/365,IF(emp_db[[#This Row],[ID]]&lt;&gt;"",(TODAY()-emp_db[[#This Row],[Column1]])/365,""))</f>
        <v/>
      </c>
      <c r="R980" s="42" t="str">
        <f ca="1">IF(emp_db[[#This Row],[Date of Birth]]&lt;&gt;"",(TODAY()-emp_db[[#This Row],[Date of Birth]])/365,"")</f>
        <v/>
      </c>
      <c r="S980" s="42">
        <f>YEAR(emp_db[[#This Row],[Column1]])</f>
        <v>1900</v>
      </c>
      <c r="T980" s="42">
        <f>MONTH(emp_db[[#This Row],[Column1]])</f>
        <v>1</v>
      </c>
      <c r="U980" s="42">
        <f>IFERROR(YEAR(emp_db[[#This Row],[Exit Date]]),"")</f>
        <v>1900</v>
      </c>
      <c r="V980" s="42">
        <f>IFERROR(MONTH(emp_db[[#This Row],[Exit Date]]),"")</f>
        <v>1</v>
      </c>
    </row>
    <row r="981" spans="2:22">
      <c r="B981" s="39"/>
      <c r="C981" s="39"/>
      <c r="D981" s="39"/>
      <c r="E981" s="39"/>
      <c r="F981" s="40"/>
      <c r="G981" s="38"/>
      <c r="H981" s="43"/>
      <c r="I981" s="43"/>
      <c r="J981" s="39"/>
      <c r="K981" s="38"/>
      <c r="L981" s="39"/>
      <c r="M981" s="39"/>
      <c r="N981" s="43"/>
      <c r="O981" s="38"/>
      <c r="P981" s="38"/>
      <c r="Q981" s="41" t="str">
        <f ca="1">IF(emp_db[[#This Row],[Exit Date]]&lt;&gt;"",(emp_db[[#This Row],[Exit Date]]-emp_db[[#This Row],[Column1]])/365,IF(emp_db[[#This Row],[ID]]&lt;&gt;"",(TODAY()-emp_db[[#This Row],[Column1]])/365,""))</f>
        <v/>
      </c>
      <c r="R981" s="42" t="str">
        <f ca="1">IF(emp_db[[#This Row],[Date of Birth]]&lt;&gt;"",(TODAY()-emp_db[[#This Row],[Date of Birth]])/365,"")</f>
        <v/>
      </c>
      <c r="S981" s="42">
        <f>YEAR(emp_db[[#This Row],[Column1]])</f>
        <v>1900</v>
      </c>
      <c r="T981" s="42">
        <f>MONTH(emp_db[[#This Row],[Column1]])</f>
        <v>1</v>
      </c>
      <c r="U981" s="42">
        <f>IFERROR(YEAR(emp_db[[#This Row],[Exit Date]]),"")</f>
        <v>1900</v>
      </c>
      <c r="V981" s="42">
        <f>IFERROR(MONTH(emp_db[[#This Row],[Exit Date]]),"")</f>
        <v>1</v>
      </c>
    </row>
    <row r="982" spans="2:22">
      <c r="B982" s="39"/>
      <c r="C982" s="39"/>
      <c r="D982" s="39"/>
      <c r="E982" s="39"/>
      <c r="F982" s="40"/>
      <c r="G982" s="38"/>
      <c r="H982" s="43"/>
      <c r="I982" s="43"/>
      <c r="J982" s="39"/>
      <c r="K982" s="38"/>
      <c r="L982" s="39"/>
      <c r="M982" s="39"/>
      <c r="N982" s="43"/>
      <c r="O982" s="38"/>
      <c r="P982" s="38"/>
      <c r="Q982" s="41" t="str">
        <f ca="1">IF(emp_db[[#This Row],[Exit Date]]&lt;&gt;"",(emp_db[[#This Row],[Exit Date]]-emp_db[[#This Row],[Column1]])/365,IF(emp_db[[#This Row],[ID]]&lt;&gt;"",(TODAY()-emp_db[[#This Row],[Column1]])/365,""))</f>
        <v/>
      </c>
      <c r="R982" s="42" t="str">
        <f ca="1">IF(emp_db[[#This Row],[Date of Birth]]&lt;&gt;"",(TODAY()-emp_db[[#This Row],[Date of Birth]])/365,"")</f>
        <v/>
      </c>
      <c r="S982" s="42">
        <f>YEAR(emp_db[[#This Row],[Column1]])</f>
        <v>1900</v>
      </c>
      <c r="T982" s="42">
        <f>MONTH(emp_db[[#This Row],[Column1]])</f>
        <v>1</v>
      </c>
      <c r="U982" s="42">
        <f>IFERROR(YEAR(emp_db[[#This Row],[Exit Date]]),"")</f>
        <v>1900</v>
      </c>
      <c r="V982" s="42">
        <f>IFERROR(MONTH(emp_db[[#This Row],[Exit Date]]),"")</f>
        <v>1</v>
      </c>
    </row>
    <row r="983" spans="2:22">
      <c r="B983" s="39"/>
      <c r="C983" s="39"/>
      <c r="D983" s="39"/>
      <c r="E983" s="39"/>
      <c r="F983" s="40"/>
      <c r="G983" s="38"/>
      <c r="H983" s="43"/>
      <c r="I983" s="43"/>
      <c r="J983" s="39"/>
      <c r="K983" s="38"/>
      <c r="L983" s="39"/>
      <c r="M983" s="39"/>
      <c r="N983" s="43"/>
      <c r="O983" s="38"/>
      <c r="P983" s="38"/>
      <c r="Q983" s="41" t="str">
        <f ca="1">IF(emp_db[[#This Row],[Exit Date]]&lt;&gt;"",(emp_db[[#This Row],[Exit Date]]-emp_db[[#This Row],[Column1]])/365,IF(emp_db[[#This Row],[ID]]&lt;&gt;"",(TODAY()-emp_db[[#This Row],[Column1]])/365,""))</f>
        <v/>
      </c>
      <c r="R983" s="42" t="str">
        <f ca="1">IF(emp_db[[#This Row],[Date of Birth]]&lt;&gt;"",(TODAY()-emp_db[[#This Row],[Date of Birth]])/365,"")</f>
        <v/>
      </c>
      <c r="S983" s="42">
        <f>YEAR(emp_db[[#This Row],[Column1]])</f>
        <v>1900</v>
      </c>
      <c r="T983" s="42">
        <f>MONTH(emp_db[[#This Row],[Column1]])</f>
        <v>1</v>
      </c>
      <c r="U983" s="42">
        <f>IFERROR(YEAR(emp_db[[#This Row],[Exit Date]]),"")</f>
        <v>1900</v>
      </c>
      <c r="V983" s="42">
        <f>IFERROR(MONTH(emp_db[[#This Row],[Exit Date]]),"")</f>
        <v>1</v>
      </c>
    </row>
    <row r="984" spans="2:22">
      <c r="B984" s="39"/>
      <c r="C984" s="39"/>
      <c r="D984" s="39"/>
      <c r="E984" s="39"/>
      <c r="F984" s="40"/>
      <c r="G984" s="38"/>
      <c r="H984" s="43"/>
      <c r="I984" s="43"/>
      <c r="J984" s="39"/>
      <c r="K984" s="38"/>
      <c r="L984" s="39"/>
      <c r="M984" s="39"/>
      <c r="N984" s="43"/>
      <c r="O984" s="38"/>
      <c r="P984" s="38"/>
      <c r="Q984" s="41" t="str">
        <f ca="1">IF(emp_db[[#This Row],[Exit Date]]&lt;&gt;"",(emp_db[[#This Row],[Exit Date]]-emp_db[[#This Row],[Column1]])/365,IF(emp_db[[#This Row],[ID]]&lt;&gt;"",(TODAY()-emp_db[[#This Row],[Column1]])/365,""))</f>
        <v/>
      </c>
      <c r="R984" s="42" t="str">
        <f ca="1">IF(emp_db[[#This Row],[Date of Birth]]&lt;&gt;"",(TODAY()-emp_db[[#This Row],[Date of Birth]])/365,"")</f>
        <v/>
      </c>
      <c r="S984" s="42">
        <f>YEAR(emp_db[[#This Row],[Column1]])</f>
        <v>1900</v>
      </c>
      <c r="T984" s="42">
        <f>MONTH(emp_db[[#This Row],[Column1]])</f>
        <v>1</v>
      </c>
      <c r="U984" s="42">
        <f>IFERROR(YEAR(emp_db[[#This Row],[Exit Date]]),"")</f>
        <v>1900</v>
      </c>
      <c r="V984" s="42">
        <f>IFERROR(MONTH(emp_db[[#This Row],[Exit Date]]),"")</f>
        <v>1</v>
      </c>
    </row>
    <row r="985" spans="2:22">
      <c r="B985" s="39"/>
      <c r="C985" s="39"/>
      <c r="D985" s="39"/>
      <c r="E985" s="39"/>
      <c r="F985" s="40"/>
      <c r="G985" s="38"/>
      <c r="H985" s="43"/>
      <c r="I985" s="43"/>
      <c r="J985" s="39"/>
      <c r="K985" s="38"/>
      <c r="L985" s="39"/>
      <c r="M985" s="39"/>
      <c r="N985" s="43"/>
      <c r="O985" s="38"/>
      <c r="P985" s="38"/>
      <c r="Q985" s="41" t="str">
        <f ca="1">IF(emp_db[[#This Row],[Exit Date]]&lt;&gt;"",(emp_db[[#This Row],[Exit Date]]-emp_db[[#This Row],[Column1]])/365,IF(emp_db[[#This Row],[ID]]&lt;&gt;"",(TODAY()-emp_db[[#This Row],[Column1]])/365,""))</f>
        <v/>
      </c>
      <c r="R985" s="42" t="str">
        <f ca="1">IF(emp_db[[#This Row],[Date of Birth]]&lt;&gt;"",(TODAY()-emp_db[[#This Row],[Date of Birth]])/365,"")</f>
        <v/>
      </c>
      <c r="S985" s="42">
        <f>YEAR(emp_db[[#This Row],[Column1]])</f>
        <v>1900</v>
      </c>
      <c r="T985" s="42">
        <f>MONTH(emp_db[[#This Row],[Column1]])</f>
        <v>1</v>
      </c>
      <c r="U985" s="42">
        <f>IFERROR(YEAR(emp_db[[#This Row],[Exit Date]]),"")</f>
        <v>1900</v>
      </c>
      <c r="V985" s="42">
        <f>IFERROR(MONTH(emp_db[[#This Row],[Exit Date]]),"")</f>
        <v>1</v>
      </c>
    </row>
    <row r="986" spans="2:22">
      <c r="B986" s="39"/>
      <c r="C986" s="39"/>
      <c r="D986" s="39"/>
      <c r="E986" s="39"/>
      <c r="F986" s="40"/>
      <c r="G986" s="38"/>
      <c r="H986" s="43"/>
      <c r="I986" s="43"/>
      <c r="J986" s="39"/>
      <c r="K986" s="38"/>
      <c r="L986" s="39"/>
      <c r="M986" s="39"/>
      <c r="N986" s="43"/>
      <c r="O986" s="38"/>
      <c r="P986" s="38"/>
      <c r="Q986" s="41" t="str">
        <f ca="1">IF(emp_db[[#This Row],[Exit Date]]&lt;&gt;"",(emp_db[[#This Row],[Exit Date]]-emp_db[[#This Row],[Column1]])/365,IF(emp_db[[#This Row],[ID]]&lt;&gt;"",(TODAY()-emp_db[[#This Row],[Column1]])/365,""))</f>
        <v/>
      </c>
      <c r="R986" s="42" t="str">
        <f ca="1">IF(emp_db[[#This Row],[Date of Birth]]&lt;&gt;"",(TODAY()-emp_db[[#This Row],[Date of Birth]])/365,"")</f>
        <v/>
      </c>
      <c r="S986" s="42">
        <f>YEAR(emp_db[[#This Row],[Column1]])</f>
        <v>1900</v>
      </c>
      <c r="T986" s="42">
        <f>MONTH(emp_db[[#This Row],[Column1]])</f>
        <v>1</v>
      </c>
      <c r="U986" s="42">
        <f>IFERROR(YEAR(emp_db[[#This Row],[Exit Date]]),"")</f>
        <v>1900</v>
      </c>
      <c r="V986" s="42">
        <f>IFERROR(MONTH(emp_db[[#This Row],[Exit Date]]),"")</f>
        <v>1</v>
      </c>
    </row>
    <row r="987" spans="2:22">
      <c r="B987" s="39"/>
      <c r="C987" s="39"/>
      <c r="D987" s="39"/>
      <c r="E987" s="39"/>
      <c r="F987" s="40"/>
      <c r="G987" s="38"/>
      <c r="H987" s="43"/>
      <c r="I987" s="43"/>
      <c r="J987" s="39"/>
      <c r="K987" s="38"/>
      <c r="L987" s="39"/>
      <c r="M987" s="39"/>
      <c r="N987" s="43"/>
      <c r="O987" s="38"/>
      <c r="P987" s="38"/>
      <c r="Q987" s="41" t="str">
        <f ca="1">IF(emp_db[[#This Row],[Exit Date]]&lt;&gt;"",(emp_db[[#This Row],[Exit Date]]-emp_db[[#This Row],[Column1]])/365,IF(emp_db[[#This Row],[ID]]&lt;&gt;"",(TODAY()-emp_db[[#This Row],[Column1]])/365,""))</f>
        <v/>
      </c>
      <c r="R987" s="42" t="str">
        <f ca="1">IF(emp_db[[#This Row],[Date of Birth]]&lt;&gt;"",(TODAY()-emp_db[[#This Row],[Date of Birth]])/365,"")</f>
        <v/>
      </c>
      <c r="S987" s="42">
        <f>YEAR(emp_db[[#This Row],[Column1]])</f>
        <v>1900</v>
      </c>
      <c r="T987" s="42">
        <f>MONTH(emp_db[[#This Row],[Column1]])</f>
        <v>1</v>
      </c>
      <c r="U987" s="42">
        <f>IFERROR(YEAR(emp_db[[#This Row],[Exit Date]]),"")</f>
        <v>1900</v>
      </c>
      <c r="V987" s="42">
        <f>IFERROR(MONTH(emp_db[[#This Row],[Exit Date]]),"")</f>
        <v>1</v>
      </c>
    </row>
    <row r="988" spans="2:22">
      <c r="B988" s="39"/>
      <c r="C988" s="39"/>
      <c r="D988" s="39"/>
      <c r="E988" s="39"/>
      <c r="F988" s="40"/>
      <c r="G988" s="38"/>
      <c r="H988" s="43"/>
      <c r="I988" s="43"/>
      <c r="J988" s="39"/>
      <c r="K988" s="38"/>
      <c r="L988" s="39"/>
      <c r="M988" s="39"/>
      <c r="N988" s="43"/>
      <c r="O988" s="38"/>
      <c r="P988" s="38"/>
      <c r="Q988" s="41" t="str">
        <f ca="1">IF(emp_db[[#This Row],[Exit Date]]&lt;&gt;"",(emp_db[[#This Row],[Exit Date]]-emp_db[[#This Row],[Column1]])/365,IF(emp_db[[#This Row],[ID]]&lt;&gt;"",(TODAY()-emp_db[[#This Row],[Column1]])/365,""))</f>
        <v/>
      </c>
      <c r="R988" s="42" t="str">
        <f ca="1">IF(emp_db[[#This Row],[Date of Birth]]&lt;&gt;"",(TODAY()-emp_db[[#This Row],[Date of Birth]])/365,"")</f>
        <v/>
      </c>
      <c r="S988" s="42">
        <f>YEAR(emp_db[[#This Row],[Column1]])</f>
        <v>1900</v>
      </c>
      <c r="T988" s="42">
        <f>MONTH(emp_db[[#This Row],[Column1]])</f>
        <v>1</v>
      </c>
      <c r="U988" s="42">
        <f>IFERROR(YEAR(emp_db[[#This Row],[Exit Date]]),"")</f>
        <v>1900</v>
      </c>
      <c r="V988" s="42">
        <f>IFERROR(MONTH(emp_db[[#This Row],[Exit Date]]),"")</f>
        <v>1</v>
      </c>
    </row>
    <row r="989" spans="2:22">
      <c r="B989" s="39"/>
      <c r="C989" s="39"/>
      <c r="D989" s="39"/>
      <c r="E989" s="39"/>
      <c r="F989" s="40"/>
      <c r="G989" s="38"/>
      <c r="H989" s="43"/>
      <c r="I989" s="43"/>
      <c r="J989" s="39"/>
      <c r="K989" s="38"/>
      <c r="L989" s="39"/>
      <c r="M989" s="39"/>
      <c r="N989" s="43"/>
      <c r="O989" s="38"/>
      <c r="P989" s="38"/>
      <c r="Q989" s="41" t="str">
        <f ca="1">IF(emp_db[[#This Row],[Exit Date]]&lt;&gt;"",(emp_db[[#This Row],[Exit Date]]-emp_db[[#This Row],[Column1]])/365,IF(emp_db[[#This Row],[ID]]&lt;&gt;"",(TODAY()-emp_db[[#This Row],[Column1]])/365,""))</f>
        <v/>
      </c>
      <c r="R989" s="42" t="str">
        <f ca="1">IF(emp_db[[#This Row],[Date of Birth]]&lt;&gt;"",(TODAY()-emp_db[[#This Row],[Date of Birth]])/365,"")</f>
        <v/>
      </c>
      <c r="S989" s="42">
        <f>YEAR(emp_db[[#This Row],[Column1]])</f>
        <v>1900</v>
      </c>
      <c r="T989" s="42">
        <f>MONTH(emp_db[[#This Row],[Column1]])</f>
        <v>1</v>
      </c>
      <c r="U989" s="42">
        <f>IFERROR(YEAR(emp_db[[#This Row],[Exit Date]]),"")</f>
        <v>1900</v>
      </c>
      <c r="V989" s="42">
        <f>IFERROR(MONTH(emp_db[[#This Row],[Exit Date]]),"")</f>
        <v>1</v>
      </c>
    </row>
    <row r="990" spans="2:22">
      <c r="B990" s="39"/>
      <c r="C990" s="39"/>
      <c r="D990" s="39"/>
      <c r="E990" s="39"/>
      <c r="F990" s="40"/>
      <c r="G990" s="38"/>
      <c r="H990" s="43"/>
      <c r="I990" s="43"/>
      <c r="J990" s="39"/>
      <c r="K990" s="38"/>
      <c r="L990" s="39"/>
      <c r="M990" s="39"/>
      <c r="N990" s="43"/>
      <c r="O990" s="38"/>
      <c r="P990" s="38"/>
      <c r="Q990" s="41" t="str">
        <f ca="1">IF(emp_db[[#This Row],[Exit Date]]&lt;&gt;"",(emp_db[[#This Row],[Exit Date]]-emp_db[[#This Row],[Column1]])/365,IF(emp_db[[#This Row],[ID]]&lt;&gt;"",(TODAY()-emp_db[[#This Row],[Column1]])/365,""))</f>
        <v/>
      </c>
      <c r="R990" s="42" t="str">
        <f ca="1">IF(emp_db[[#This Row],[Date of Birth]]&lt;&gt;"",(TODAY()-emp_db[[#This Row],[Date of Birth]])/365,"")</f>
        <v/>
      </c>
      <c r="S990" s="42">
        <f>YEAR(emp_db[[#This Row],[Column1]])</f>
        <v>1900</v>
      </c>
      <c r="T990" s="42">
        <f>MONTH(emp_db[[#This Row],[Column1]])</f>
        <v>1</v>
      </c>
      <c r="U990" s="42">
        <f>IFERROR(YEAR(emp_db[[#This Row],[Exit Date]]),"")</f>
        <v>1900</v>
      </c>
      <c r="V990" s="42">
        <f>IFERROR(MONTH(emp_db[[#This Row],[Exit Date]]),"")</f>
        <v>1</v>
      </c>
    </row>
    <row r="991" spans="2:22">
      <c r="B991" s="39"/>
      <c r="C991" s="39"/>
      <c r="D991" s="39"/>
      <c r="E991" s="39"/>
      <c r="F991" s="40"/>
      <c r="G991" s="38"/>
      <c r="H991" s="43"/>
      <c r="I991" s="43"/>
      <c r="J991" s="39"/>
      <c r="K991" s="38"/>
      <c r="L991" s="39"/>
      <c r="M991" s="39"/>
      <c r="N991" s="43"/>
      <c r="O991" s="38"/>
      <c r="P991" s="38"/>
      <c r="Q991" s="41" t="str">
        <f ca="1">IF(emp_db[[#This Row],[Exit Date]]&lt;&gt;"",(emp_db[[#This Row],[Exit Date]]-emp_db[[#This Row],[Column1]])/365,IF(emp_db[[#This Row],[ID]]&lt;&gt;"",(TODAY()-emp_db[[#This Row],[Column1]])/365,""))</f>
        <v/>
      </c>
      <c r="R991" s="42" t="str">
        <f ca="1">IF(emp_db[[#This Row],[Date of Birth]]&lt;&gt;"",(TODAY()-emp_db[[#This Row],[Date of Birth]])/365,"")</f>
        <v/>
      </c>
      <c r="S991" s="42">
        <f>YEAR(emp_db[[#This Row],[Column1]])</f>
        <v>1900</v>
      </c>
      <c r="T991" s="42">
        <f>MONTH(emp_db[[#This Row],[Column1]])</f>
        <v>1</v>
      </c>
      <c r="U991" s="42">
        <f>IFERROR(YEAR(emp_db[[#This Row],[Exit Date]]),"")</f>
        <v>1900</v>
      </c>
      <c r="V991" s="42">
        <f>IFERROR(MONTH(emp_db[[#This Row],[Exit Date]]),"")</f>
        <v>1</v>
      </c>
    </row>
    <row r="992" spans="2:22">
      <c r="B992" s="39"/>
      <c r="C992" s="39"/>
      <c r="D992" s="39"/>
      <c r="E992" s="39"/>
      <c r="F992" s="40"/>
      <c r="G992" s="38"/>
      <c r="H992" s="43"/>
      <c r="I992" s="43"/>
      <c r="J992" s="39"/>
      <c r="K992" s="38"/>
      <c r="L992" s="39"/>
      <c r="M992" s="39"/>
      <c r="N992" s="43"/>
      <c r="O992" s="38"/>
      <c r="P992" s="38"/>
      <c r="Q992" s="41" t="str">
        <f ca="1">IF(emp_db[[#This Row],[Exit Date]]&lt;&gt;"",(emp_db[[#This Row],[Exit Date]]-emp_db[[#This Row],[Column1]])/365,IF(emp_db[[#This Row],[ID]]&lt;&gt;"",(TODAY()-emp_db[[#This Row],[Column1]])/365,""))</f>
        <v/>
      </c>
      <c r="R992" s="42" t="str">
        <f ca="1">IF(emp_db[[#This Row],[Date of Birth]]&lt;&gt;"",(TODAY()-emp_db[[#This Row],[Date of Birth]])/365,"")</f>
        <v/>
      </c>
      <c r="S992" s="42">
        <f>YEAR(emp_db[[#This Row],[Column1]])</f>
        <v>1900</v>
      </c>
      <c r="T992" s="42">
        <f>MONTH(emp_db[[#This Row],[Column1]])</f>
        <v>1</v>
      </c>
      <c r="U992" s="42">
        <f>IFERROR(YEAR(emp_db[[#This Row],[Exit Date]]),"")</f>
        <v>1900</v>
      </c>
      <c r="V992" s="42">
        <f>IFERROR(MONTH(emp_db[[#This Row],[Exit Date]]),"")</f>
        <v>1</v>
      </c>
    </row>
    <row r="993" spans="2:22">
      <c r="B993" s="39"/>
      <c r="C993" s="39"/>
      <c r="D993" s="39"/>
      <c r="E993" s="39"/>
      <c r="F993" s="40"/>
      <c r="G993" s="38"/>
      <c r="H993" s="43"/>
      <c r="I993" s="43"/>
      <c r="J993" s="39"/>
      <c r="K993" s="38"/>
      <c r="L993" s="39"/>
      <c r="M993" s="39"/>
      <c r="N993" s="43"/>
      <c r="O993" s="38"/>
      <c r="P993" s="38"/>
      <c r="Q993" s="41" t="str">
        <f ca="1">IF(emp_db[[#This Row],[Exit Date]]&lt;&gt;"",(emp_db[[#This Row],[Exit Date]]-emp_db[[#This Row],[Column1]])/365,IF(emp_db[[#This Row],[ID]]&lt;&gt;"",(TODAY()-emp_db[[#This Row],[Column1]])/365,""))</f>
        <v/>
      </c>
      <c r="R993" s="42" t="str">
        <f ca="1">IF(emp_db[[#This Row],[Date of Birth]]&lt;&gt;"",(TODAY()-emp_db[[#This Row],[Date of Birth]])/365,"")</f>
        <v/>
      </c>
      <c r="S993" s="42">
        <f>YEAR(emp_db[[#This Row],[Column1]])</f>
        <v>1900</v>
      </c>
      <c r="T993" s="42">
        <f>MONTH(emp_db[[#This Row],[Column1]])</f>
        <v>1</v>
      </c>
      <c r="U993" s="42">
        <f>IFERROR(YEAR(emp_db[[#This Row],[Exit Date]]),"")</f>
        <v>1900</v>
      </c>
      <c r="V993" s="42">
        <f>IFERROR(MONTH(emp_db[[#This Row],[Exit Date]]),"")</f>
        <v>1</v>
      </c>
    </row>
    <row r="994" spans="2:22">
      <c r="B994" s="39"/>
      <c r="C994" s="39"/>
      <c r="D994" s="39"/>
      <c r="E994" s="39"/>
      <c r="F994" s="40"/>
      <c r="G994" s="38"/>
      <c r="H994" s="43"/>
      <c r="I994" s="43"/>
      <c r="J994" s="39"/>
      <c r="K994" s="38"/>
      <c r="L994" s="39"/>
      <c r="M994" s="39"/>
      <c r="N994" s="43"/>
      <c r="O994" s="38"/>
      <c r="P994" s="38"/>
      <c r="Q994" s="41" t="str">
        <f ca="1">IF(emp_db[[#This Row],[Exit Date]]&lt;&gt;"",(emp_db[[#This Row],[Exit Date]]-emp_db[[#This Row],[Column1]])/365,IF(emp_db[[#This Row],[ID]]&lt;&gt;"",(TODAY()-emp_db[[#This Row],[Column1]])/365,""))</f>
        <v/>
      </c>
      <c r="R994" s="42" t="str">
        <f ca="1">IF(emp_db[[#This Row],[Date of Birth]]&lt;&gt;"",(TODAY()-emp_db[[#This Row],[Date of Birth]])/365,"")</f>
        <v/>
      </c>
      <c r="S994" s="42">
        <f>YEAR(emp_db[[#This Row],[Column1]])</f>
        <v>1900</v>
      </c>
      <c r="T994" s="42">
        <f>MONTH(emp_db[[#This Row],[Column1]])</f>
        <v>1</v>
      </c>
      <c r="U994" s="42">
        <f>IFERROR(YEAR(emp_db[[#This Row],[Exit Date]]),"")</f>
        <v>1900</v>
      </c>
      <c r="V994" s="42">
        <f>IFERROR(MONTH(emp_db[[#This Row],[Exit Date]]),"")</f>
        <v>1</v>
      </c>
    </row>
    <row r="995" spans="2:22">
      <c r="B995" s="39"/>
      <c r="C995" s="39"/>
      <c r="D995" s="39"/>
      <c r="E995" s="39"/>
      <c r="F995" s="40"/>
      <c r="G995" s="38"/>
      <c r="H995" s="43"/>
      <c r="I995" s="43"/>
      <c r="J995" s="39"/>
      <c r="K995" s="38"/>
      <c r="L995" s="39"/>
      <c r="M995" s="39"/>
      <c r="N995" s="43"/>
      <c r="O995" s="38"/>
      <c r="P995" s="38"/>
      <c r="Q995" s="41" t="str">
        <f ca="1">IF(emp_db[[#This Row],[Exit Date]]&lt;&gt;"",(emp_db[[#This Row],[Exit Date]]-emp_db[[#This Row],[Column1]])/365,IF(emp_db[[#This Row],[ID]]&lt;&gt;"",(TODAY()-emp_db[[#This Row],[Column1]])/365,""))</f>
        <v/>
      </c>
      <c r="R995" s="42" t="str">
        <f ca="1">IF(emp_db[[#This Row],[Date of Birth]]&lt;&gt;"",(TODAY()-emp_db[[#This Row],[Date of Birth]])/365,"")</f>
        <v/>
      </c>
      <c r="S995" s="42">
        <f>YEAR(emp_db[[#This Row],[Column1]])</f>
        <v>1900</v>
      </c>
      <c r="T995" s="42">
        <f>MONTH(emp_db[[#This Row],[Column1]])</f>
        <v>1</v>
      </c>
      <c r="U995" s="42">
        <f>IFERROR(YEAR(emp_db[[#This Row],[Exit Date]]),"")</f>
        <v>1900</v>
      </c>
      <c r="V995" s="42">
        <f>IFERROR(MONTH(emp_db[[#This Row],[Exit Date]]),"")</f>
        <v>1</v>
      </c>
    </row>
    <row r="996" spans="2:22">
      <c r="B996" s="39"/>
      <c r="C996" s="39"/>
      <c r="D996" s="39"/>
      <c r="E996" s="39"/>
      <c r="F996" s="40"/>
      <c r="G996" s="38"/>
      <c r="H996" s="43"/>
      <c r="I996" s="43"/>
      <c r="J996" s="39"/>
      <c r="K996" s="38"/>
      <c r="L996" s="39"/>
      <c r="M996" s="39"/>
      <c r="N996" s="43"/>
      <c r="O996" s="38"/>
      <c r="P996" s="38"/>
      <c r="Q996" s="41" t="str">
        <f ca="1">IF(emp_db[[#This Row],[Exit Date]]&lt;&gt;"",(emp_db[[#This Row],[Exit Date]]-emp_db[[#This Row],[Column1]])/365,IF(emp_db[[#This Row],[ID]]&lt;&gt;"",(TODAY()-emp_db[[#This Row],[Column1]])/365,""))</f>
        <v/>
      </c>
      <c r="R996" s="42" t="str">
        <f ca="1">IF(emp_db[[#This Row],[Date of Birth]]&lt;&gt;"",(TODAY()-emp_db[[#This Row],[Date of Birth]])/365,"")</f>
        <v/>
      </c>
      <c r="S996" s="42">
        <f>YEAR(emp_db[[#This Row],[Column1]])</f>
        <v>1900</v>
      </c>
      <c r="T996" s="42">
        <f>MONTH(emp_db[[#This Row],[Column1]])</f>
        <v>1</v>
      </c>
      <c r="U996" s="42">
        <f>IFERROR(YEAR(emp_db[[#This Row],[Exit Date]]),"")</f>
        <v>1900</v>
      </c>
      <c r="V996" s="42">
        <f>IFERROR(MONTH(emp_db[[#This Row],[Exit Date]]),"")</f>
        <v>1</v>
      </c>
    </row>
    <row r="997" spans="2:22">
      <c r="B997" s="39"/>
      <c r="C997" s="39"/>
      <c r="D997" s="39"/>
      <c r="E997" s="39"/>
      <c r="F997" s="40"/>
      <c r="G997" s="38"/>
      <c r="H997" s="43"/>
      <c r="I997" s="43"/>
      <c r="J997" s="39"/>
      <c r="K997" s="38"/>
      <c r="L997" s="39"/>
      <c r="M997" s="39"/>
      <c r="N997" s="43"/>
      <c r="O997" s="38"/>
      <c r="P997" s="38"/>
      <c r="Q997" s="41" t="str">
        <f ca="1">IF(emp_db[[#This Row],[Exit Date]]&lt;&gt;"",(emp_db[[#This Row],[Exit Date]]-emp_db[[#This Row],[Column1]])/365,IF(emp_db[[#This Row],[ID]]&lt;&gt;"",(TODAY()-emp_db[[#This Row],[Column1]])/365,""))</f>
        <v/>
      </c>
      <c r="R997" s="42" t="str">
        <f ca="1">IF(emp_db[[#This Row],[Date of Birth]]&lt;&gt;"",(TODAY()-emp_db[[#This Row],[Date of Birth]])/365,"")</f>
        <v/>
      </c>
      <c r="S997" s="42">
        <f>YEAR(emp_db[[#This Row],[Column1]])</f>
        <v>1900</v>
      </c>
      <c r="T997" s="42">
        <f>MONTH(emp_db[[#This Row],[Column1]])</f>
        <v>1</v>
      </c>
      <c r="U997" s="42">
        <f>IFERROR(YEAR(emp_db[[#This Row],[Exit Date]]),"")</f>
        <v>1900</v>
      </c>
      <c r="V997" s="42">
        <f>IFERROR(MONTH(emp_db[[#This Row],[Exit Date]]),"")</f>
        <v>1</v>
      </c>
    </row>
    <row r="998" spans="2:22">
      <c r="B998" s="39"/>
      <c r="C998" s="39"/>
      <c r="D998" s="39"/>
      <c r="E998" s="39"/>
      <c r="F998" s="40"/>
      <c r="G998" s="38"/>
      <c r="H998" s="43"/>
      <c r="I998" s="43"/>
      <c r="J998" s="39"/>
      <c r="K998" s="38"/>
      <c r="L998" s="39"/>
      <c r="M998" s="39"/>
      <c r="N998" s="43"/>
      <c r="O998" s="38"/>
      <c r="P998" s="38"/>
      <c r="Q998" s="41" t="str">
        <f ca="1">IF(emp_db[[#This Row],[Exit Date]]&lt;&gt;"",(emp_db[[#This Row],[Exit Date]]-emp_db[[#This Row],[Column1]])/365,IF(emp_db[[#This Row],[ID]]&lt;&gt;"",(TODAY()-emp_db[[#This Row],[Column1]])/365,""))</f>
        <v/>
      </c>
      <c r="R998" s="42" t="str">
        <f ca="1">IF(emp_db[[#This Row],[Date of Birth]]&lt;&gt;"",(TODAY()-emp_db[[#This Row],[Date of Birth]])/365,"")</f>
        <v/>
      </c>
      <c r="S998" s="42">
        <f>YEAR(emp_db[[#This Row],[Column1]])</f>
        <v>1900</v>
      </c>
      <c r="T998" s="42">
        <f>MONTH(emp_db[[#This Row],[Column1]])</f>
        <v>1</v>
      </c>
      <c r="U998" s="42">
        <f>IFERROR(YEAR(emp_db[[#This Row],[Exit Date]]),"")</f>
        <v>1900</v>
      </c>
      <c r="V998" s="42">
        <f>IFERROR(MONTH(emp_db[[#This Row],[Exit Date]]),"")</f>
        <v>1</v>
      </c>
    </row>
    <row r="999" spans="2:22">
      <c r="B999" s="39"/>
      <c r="C999" s="39"/>
      <c r="D999" s="39"/>
      <c r="E999" s="39"/>
      <c r="F999" s="40"/>
      <c r="G999" s="38"/>
      <c r="H999" s="43"/>
      <c r="I999" s="43"/>
      <c r="J999" s="39"/>
      <c r="K999" s="38"/>
      <c r="L999" s="39"/>
      <c r="M999" s="39"/>
      <c r="N999" s="43"/>
      <c r="O999" s="38"/>
      <c r="P999" s="38"/>
      <c r="Q999" s="41" t="str">
        <f ca="1">IF(emp_db[[#This Row],[Exit Date]]&lt;&gt;"",(emp_db[[#This Row],[Exit Date]]-emp_db[[#This Row],[Column1]])/365,IF(emp_db[[#This Row],[ID]]&lt;&gt;"",(TODAY()-emp_db[[#This Row],[Column1]])/365,""))</f>
        <v/>
      </c>
      <c r="R999" s="42" t="str">
        <f ca="1">IF(emp_db[[#This Row],[Date of Birth]]&lt;&gt;"",(TODAY()-emp_db[[#This Row],[Date of Birth]])/365,"")</f>
        <v/>
      </c>
      <c r="S999" s="42">
        <f>YEAR(emp_db[[#This Row],[Column1]])</f>
        <v>1900</v>
      </c>
      <c r="T999" s="42">
        <f>MONTH(emp_db[[#This Row],[Column1]])</f>
        <v>1</v>
      </c>
      <c r="U999" s="42">
        <f>IFERROR(YEAR(emp_db[[#This Row],[Exit Date]]),"")</f>
        <v>1900</v>
      </c>
      <c r="V999" s="42">
        <f>IFERROR(MONTH(emp_db[[#This Row],[Exit Date]]),"")</f>
        <v>1</v>
      </c>
    </row>
    <row r="1000" spans="2:22">
      <c r="B1000" s="39"/>
      <c r="C1000" s="39"/>
      <c r="D1000" s="39"/>
      <c r="E1000" s="39"/>
      <c r="F1000" s="40"/>
      <c r="G1000" s="38"/>
      <c r="H1000" s="43"/>
      <c r="I1000" s="43"/>
      <c r="J1000" s="39"/>
      <c r="K1000" s="38"/>
      <c r="L1000" s="39"/>
      <c r="M1000" s="39"/>
      <c r="N1000" s="43"/>
      <c r="O1000" s="38"/>
      <c r="P1000" s="38"/>
      <c r="Q1000" s="41" t="str">
        <f ca="1">IF(emp_db[[#This Row],[Exit Date]]&lt;&gt;"",(emp_db[[#This Row],[Exit Date]]-emp_db[[#This Row],[Column1]])/365,IF(emp_db[[#This Row],[ID]]&lt;&gt;"",(TODAY()-emp_db[[#This Row],[Column1]])/365,""))</f>
        <v/>
      </c>
      <c r="R1000" s="42" t="str">
        <f ca="1">IF(emp_db[[#This Row],[Date of Birth]]&lt;&gt;"",(TODAY()-emp_db[[#This Row],[Date of Birth]])/365,"")</f>
        <v/>
      </c>
      <c r="S1000" s="42">
        <f>YEAR(emp_db[[#This Row],[Column1]])</f>
        <v>1900</v>
      </c>
      <c r="T1000" s="42">
        <f>MONTH(emp_db[[#This Row],[Column1]])</f>
        <v>1</v>
      </c>
      <c r="U1000" s="42">
        <f>IFERROR(YEAR(emp_db[[#This Row],[Exit Date]]),"")</f>
        <v>1900</v>
      </c>
      <c r="V1000" s="42">
        <f>IFERROR(MONTH(emp_db[[#This Row],[Exit Date]]),"")</f>
        <v>1</v>
      </c>
    </row>
    <row r="1001" spans="2:22">
      <c r="B1001" s="39"/>
      <c r="C1001" s="39"/>
      <c r="D1001" s="39"/>
      <c r="E1001" s="39"/>
      <c r="F1001" s="40"/>
      <c r="G1001" s="38"/>
      <c r="H1001" s="43"/>
      <c r="I1001" s="43"/>
      <c r="J1001" s="39"/>
      <c r="K1001" s="38"/>
      <c r="L1001" s="39"/>
      <c r="M1001" s="39"/>
      <c r="N1001" s="43"/>
      <c r="O1001" s="38"/>
      <c r="P1001" s="38"/>
      <c r="Q1001" s="41" t="str">
        <f ca="1">IF(emp_db[[#This Row],[Exit Date]]&lt;&gt;"",(emp_db[[#This Row],[Exit Date]]-emp_db[[#This Row],[Column1]])/365,IF(emp_db[[#This Row],[ID]]&lt;&gt;"",(TODAY()-emp_db[[#This Row],[Column1]])/365,""))</f>
        <v/>
      </c>
      <c r="R1001" s="42" t="str">
        <f ca="1">IF(emp_db[[#This Row],[Date of Birth]]&lt;&gt;"",(TODAY()-emp_db[[#This Row],[Date of Birth]])/365,"")</f>
        <v/>
      </c>
      <c r="S1001" s="42">
        <f>YEAR(emp_db[[#This Row],[Column1]])</f>
        <v>1900</v>
      </c>
      <c r="T1001" s="42">
        <f>MONTH(emp_db[[#This Row],[Column1]])</f>
        <v>1</v>
      </c>
      <c r="U1001" s="42">
        <f>IFERROR(YEAR(emp_db[[#This Row],[Exit Date]]),"")</f>
        <v>1900</v>
      </c>
      <c r="V1001" s="42">
        <f>IFERROR(MONTH(emp_db[[#This Row],[Exit Date]]),"")</f>
        <v>1</v>
      </c>
    </row>
    <row r="1002" spans="2:22">
      <c r="B1002" s="39"/>
      <c r="C1002" s="39"/>
      <c r="D1002" s="39"/>
      <c r="E1002" s="39"/>
      <c r="F1002" s="40"/>
      <c r="G1002" s="38"/>
      <c r="H1002" s="43"/>
      <c r="I1002" s="43"/>
      <c r="J1002" s="39"/>
      <c r="K1002" s="38"/>
      <c r="L1002" s="39"/>
      <c r="M1002" s="39"/>
      <c r="N1002" s="43"/>
      <c r="O1002" s="38"/>
      <c r="P1002" s="38"/>
      <c r="Q1002" s="41" t="str">
        <f ca="1">IF(emp_db[[#This Row],[Exit Date]]&lt;&gt;"",(emp_db[[#This Row],[Exit Date]]-emp_db[[#This Row],[Column1]])/365,IF(emp_db[[#This Row],[ID]]&lt;&gt;"",(TODAY()-emp_db[[#This Row],[Column1]])/365,""))</f>
        <v/>
      </c>
      <c r="R1002" s="42" t="str">
        <f ca="1">IF(emp_db[[#This Row],[Date of Birth]]&lt;&gt;"",(TODAY()-emp_db[[#This Row],[Date of Birth]])/365,"")</f>
        <v/>
      </c>
      <c r="S1002" s="42">
        <f>YEAR(emp_db[[#This Row],[Column1]])</f>
        <v>1900</v>
      </c>
      <c r="T1002" s="42">
        <f>MONTH(emp_db[[#This Row],[Column1]])</f>
        <v>1</v>
      </c>
      <c r="U1002" s="42">
        <f>IFERROR(YEAR(emp_db[[#This Row],[Exit Date]]),"")</f>
        <v>1900</v>
      </c>
      <c r="V1002" s="42">
        <f>IFERROR(MONTH(emp_db[[#This Row],[Exit Date]]),"")</f>
        <v>1</v>
      </c>
    </row>
    <row r="1003" spans="2:22">
      <c r="B1003" s="39"/>
      <c r="C1003" s="39"/>
      <c r="D1003" s="39"/>
      <c r="E1003" s="39"/>
      <c r="F1003" s="40"/>
      <c r="G1003" s="38"/>
      <c r="H1003" s="43"/>
      <c r="I1003" s="43"/>
      <c r="J1003" s="39"/>
      <c r="K1003" s="38"/>
      <c r="L1003" s="39"/>
      <c r="M1003" s="39"/>
      <c r="N1003" s="43"/>
      <c r="O1003" s="38"/>
      <c r="P1003" s="38"/>
      <c r="Q1003" s="41" t="str">
        <f ca="1">IF(emp_db[[#This Row],[Exit Date]]&lt;&gt;"",(emp_db[[#This Row],[Exit Date]]-emp_db[[#This Row],[Column1]])/365,IF(emp_db[[#This Row],[ID]]&lt;&gt;"",(TODAY()-emp_db[[#This Row],[Column1]])/365,""))</f>
        <v/>
      </c>
      <c r="R1003" s="42" t="str">
        <f ca="1">IF(emp_db[[#This Row],[Date of Birth]]&lt;&gt;"",(TODAY()-emp_db[[#This Row],[Date of Birth]])/365,"")</f>
        <v/>
      </c>
      <c r="S1003" s="42">
        <f>YEAR(emp_db[[#This Row],[Column1]])</f>
        <v>1900</v>
      </c>
      <c r="T1003" s="42">
        <f>MONTH(emp_db[[#This Row],[Column1]])</f>
        <v>1</v>
      </c>
      <c r="U1003" s="42">
        <f>IFERROR(YEAR(emp_db[[#This Row],[Exit Date]]),"")</f>
        <v>1900</v>
      </c>
      <c r="V1003" s="42">
        <f>IFERROR(MONTH(emp_db[[#This Row],[Exit Date]]),"")</f>
        <v>1</v>
      </c>
    </row>
    <row r="1004" spans="2:22">
      <c r="B1004" s="39"/>
      <c r="C1004" s="39"/>
      <c r="D1004" s="39"/>
      <c r="E1004" s="39"/>
      <c r="F1004" s="40"/>
      <c r="G1004" s="38"/>
      <c r="H1004" s="43"/>
      <c r="I1004" s="43"/>
      <c r="J1004" s="39"/>
      <c r="K1004" s="38"/>
      <c r="L1004" s="39"/>
      <c r="M1004" s="39"/>
      <c r="N1004" s="43"/>
      <c r="O1004" s="38"/>
      <c r="P1004" s="38"/>
      <c r="Q1004" s="41" t="str">
        <f ca="1">IF(emp_db[[#This Row],[Exit Date]]&lt;&gt;"",(emp_db[[#This Row],[Exit Date]]-emp_db[[#This Row],[Column1]])/365,IF(emp_db[[#This Row],[ID]]&lt;&gt;"",(TODAY()-emp_db[[#This Row],[Column1]])/365,""))</f>
        <v/>
      </c>
      <c r="R1004" s="42" t="str">
        <f ca="1">IF(emp_db[[#This Row],[Date of Birth]]&lt;&gt;"",(TODAY()-emp_db[[#This Row],[Date of Birth]])/365,"")</f>
        <v/>
      </c>
      <c r="S1004" s="42">
        <f>YEAR(emp_db[[#This Row],[Column1]])</f>
        <v>1900</v>
      </c>
      <c r="T1004" s="42">
        <f>MONTH(emp_db[[#This Row],[Column1]])</f>
        <v>1</v>
      </c>
      <c r="U1004" s="42">
        <f>IFERROR(YEAR(emp_db[[#This Row],[Exit Date]]),"")</f>
        <v>1900</v>
      </c>
      <c r="V1004" s="42">
        <f>IFERROR(MONTH(emp_db[[#This Row],[Exit Date]]),"")</f>
        <v>1</v>
      </c>
    </row>
  </sheetData>
  <dataConsolidate/>
  <mergeCells count="1">
    <mergeCell ref="B2:G2"/>
  </mergeCells>
  <phoneticPr fontId="1" type="noConversion"/>
  <dataValidations count="9">
    <dataValidation type="list" allowBlank="1" showInputMessage="1" showErrorMessage="1" sqref="G4:G1004" xr:uid="{E6E97055-9043-4062-8882-A39543F633F5}">
      <formula1>"Male,Female,Other"</formula1>
    </dataValidation>
    <dataValidation type="list" allowBlank="1" showInputMessage="1" showErrorMessage="1" sqref="L4:L1004" xr:uid="{9517398D-AD6F-4788-9914-1A214C59969F}">
      <formula1>"Hourly Rate,Part-Time,Full-Time"</formula1>
    </dataValidation>
    <dataValidation type="list" allowBlank="1" showInputMessage="1" showErrorMessage="1" sqref="P4:P1004" xr:uid="{FAB2312D-EE6A-4581-84AD-942AB7209D94}">
      <formula1>"Voluntary,Involuntary"</formula1>
    </dataValidation>
    <dataValidation type="list" allowBlank="1" showInputMessage="1" showErrorMessage="1" sqref="O4:O12" xr:uid="{24BC5853-3747-4049-8420-6FF41413E31C}">
      <formula1>"Personal,Discipline,Corporate Culture,Career Growth,Other"</formula1>
    </dataValidation>
    <dataValidation type="list" allowBlank="1" showInputMessage="1" showErrorMessage="1" sqref="I66" xr:uid="{F7BAB107-CF63-4BE7-8506-25BF41706DFA}">
      <formula1>"Internal Referral,Career Faris,Job Boards,Online Portal,Organic,Recruiting Agency"</formula1>
    </dataValidation>
    <dataValidation type="list" allowBlank="1" showInputMessage="1" showErrorMessage="1" sqref="I4:I65" xr:uid="{B67D9C64-A69C-49E7-AEF7-15CC657F46B7}">
      <formula1>"Internal Referral,Career Fairs,Job Boards,Online Portal,Organic,Recruiting Agency"</formula1>
    </dataValidation>
    <dataValidation type="list" allowBlank="1" showInputMessage="1" showErrorMessage="1" sqref="K4:K1004" xr:uid="{70D43E98-1B96-4478-ABEC-5E1859CE252E}">
      <formula1>INDIRECT("dept")</formula1>
    </dataValidation>
    <dataValidation type="list" allowBlank="1" showInputMessage="1" showErrorMessage="1" sqref="O13:O1004" xr:uid="{A3B89DF0-E753-48CE-9AE6-DE4DA26F56A2}">
      <formula1>INDIRECT("exitreason")</formula1>
    </dataValidation>
    <dataValidation type="list" allowBlank="1" showInputMessage="1" showErrorMessage="1" sqref="M4:M1004" xr:uid="{4A1F6E6C-26D6-4196-A4A6-7CBDDCFE34AF}">
      <formula1>INDIRECT("roles")</formula1>
    </dataValidation>
  </dataValidations>
  <hyperlinks>
    <hyperlink ref="Z1" r:id="rId1" xr:uid="{7F569459-34B4-49FB-A376-641DE6E549CB}"/>
  </hyperlinks>
  <pageMargins left="0.7" right="0.7" top="0.75" bottom="0.75" header="0.3" footer="0.3"/>
  <pageSetup orientation="portrait" horizontalDpi="0"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D6F6C-9FFC-40DA-B256-F0FC91F73B53}">
  <sheetPr codeName="Sheet2"/>
  <dimension ref="B4:C9"/>
  <sheetViews>
    <sheetView workbookViewId="0">
      <selection activeCell="B10" sqref="B10"/>
    </sheetView>
  </sheetViews>
  <sheetFormatPr baseColWidth="10" defaultColWidth="8.83203125" defaultRowHeight="15"/>
  <sheetData>
    <row r="4" spans="2:3">
      <c r="B4">
        <v>0</v>
      </c>
      <c r="C4" t="s">
        <v>212</v>
      </c>
    </row>
    <row r="5" spans="2:3">
      <c r="B5">
        <v>1</v>
      </c>
      <c r="C5" t="s">
        <v>213</v>
      </c>
    </row>
    <row r="6" spans="2:3">
      <c r="B6">
        <v>2</v>
      </c>
      <c r="C6" t="s">
        <v>214</v>
      </c>
    </row>
    <row r="7" spans="2:3">
      <c r="B7">
        <v>3</v>
      </c>
      <c r="C7" t="s">
        <v>215</v>
      </c>
    </row>
    <row r="8" spans="2:3">
      <c r="B8">
        <v>4</v>
      </c>
      <c r="C8" t="s">
        <v>216</v>
      </c>
    </row>
    <row r="9" spans="2:3">
      <c r="B9">
        <v>5</v>
      </c>
      <c r="C9" t="s">
        <v>217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8651F-2798-4D71-8040-66C9A0C8F25A}">
  <sheetPr codeName="Sheet4">
    <tabColor rgb="FF009688"/>
  </sheetPr>
  <dimension ref="A1:U51"/>
  <sheetViews>
    <sheetView showGridLines="0" topLeftCell="A2" workbookViewId="0">
      <selection activeCell="C36" sqref="C36"/>
    </sheetView>
  </sheetViews>
  <sheetFormatPr baseColWidth="10" defaultColWidth="8.83203125" defaultRowHeight="15" zeroHeight="1"/>
  <cols>
    <col min="1" max="1" width="57.5" style="3" customWidth="1"/>
    <col min="3" max="3" width="12.1640625" bestFit="1" customWidth="1"/>
    <col min="4" max="5" width="9.6640625" bestFit="1" customWidth="1"/>
    <col min="6" max="6" width="15.6640625" customWidth="1"/>
    <col min="7" max="7" width="12.83203125" bestFit="1" customWidth="1"/>
    <col min="8" max="8" width="20.33203125" bestFit="1" customWidth="1"/>
    <col min="9" max="9" width="12.1640625" bestFit="1" customWidth="1"/>
    <col min="10" max="10" width="9.6640625" bestFit="1" customWidth="1"/>
    <col min="11" max="11" width="12.33203125" bestFit="1" customWidth="1"/>
    <col min="12" max="12" width="7.1640625" bestFit="1" customWidth="1"/>
    <col min="16" max="16" width="12.1640625" bestFit="1" customWidth="1"/>
    <col min="17" max="17" width="16" bestFit="1" customWidth="1"/>
    <col min="19" max="19" width="19.33203125" bestFit="1" customWidth="1"/>
    <col min="20" max="20" width="9.6640625" bestFit="1" customWidth="1"/>
  </cols>
  <sheetData>
    <row r="1" spans="1:21" s="5" customFormat="1" ht="39" hidden="1" customHeight="1">
      <c r="A1" s="29"/>
    </row>
    <row r="2" spans="1:21" s="5" customFormat="1">
      <c r="A2" s="29"/>
    </row>
    <row r="3" spans="1:21" s="5" customFormat="1" ht="39">
      <c r="A3" s="91" t="s">
        <v>209</v>
      </c>
      <c r="B3" s="6"/>
      <c r="C3" s="77" t="s">
        <v>204</v>
      </c>
      <c r="D3" s="6"/>
      <c r="E3" s="77" t="s">
        <v>203</v>
      </c>
      <c r="F3" s="6"/>
      <c r="G3" s="28" t="s">
        <v>205</v>
      </c>
      <c r="H3" s="6"/>
      <c r="I3" s="77" t="s">
        <v>206</v>
      </c>
      <c r="J3" s="6"/>
      <c r="K3" s="77" t="s">
        <v>13</v>
      </c>
      <c r="L3" s="6"/>
      <c r="M3" s="6"/>
      <c r="N3" s="6"/>
      <c r="O3" s="6"/>
      <c r="P3" s="6"/>
      <c r="Q3" s="6"/>
      <c r="R3" s="90" t="s">
        <v>274</v>
      </c>
      <c r="S3" s="90"/>
      <c r="T3" s="90"/>
      <c r="U3" s="90"/>
    </row>
    <row r="4" spans="1:21" s="5" customFormat="1" ht="53.25" customHeight="1">
      <c r="A4" s="91"/>
      <c r="B4" s="6"/>
      <c r="C4" s="74">
        <f>MAX(emp_db[ID])</f>
        <v>62</v>
      </c>
      <c r="D4" s="6"/>
      <c r="E4" s="75">
        <f>'Background Data'!D9</f>
        <v>27</v>
      </c>
      <c r="F4" s="6"/>
      <c r="G4" s="75">
        <f>COUNTIF(emp_db[Exit Date],"&gt;"&amp;0)</f>
        <v>35</v>
      </c>
      <c r="H4" s="6"/>
      <c r="I4" s="76">
        <f ca="1">AVERAGE(emp_db[Age])</f>
        <v>33.229385771100311</v>
      </c>
      <c r="J4" s="6"/>
      <c r="K4" s="76">
        <f ca="1">AVERAGE(emp_db[Tenure])</f>
        <v>4.0293415819708356</v>
      </c>
      <c r="L4" s="6"/>
      <c r="M4" s="6"/>
      <c r="N4" s="6"/>
      <c r="O4" s="6"/>
      <c r="P4" s="6"/>
      <c r="Q4" s="6"/>
      <c r="R4" s="90"/>
      <c r="S4" s="90"/>
      <c r="T4" s="90"/>
      <c r="U4" s="90"/>
    </row>
    <row r="5" spans="1:21" s="5" customFormat="1">
      <c r="A5" s="29"/>
    </row>
    <row r="6" spans="1:21" s="5" customFormat="1">
      <c r="A6" s="31" t="s">
        <v>208</v>
      </c>
    </row>
    <row r="7" spans="1:21" s="5" customFormat="1">
      <c r="A7" s="6"/>
      <c r="P7" s="25" t="s">
        <v>199</v>
      </c>
      <c r="Q7" t="s">
        <v>207</v>
      </c>
      <c r="R7"/>
      <c r="S7" s="25" t="s">
        <v>199</v>
      </c>
      <c r="T7" t="s">
        <v>202</v>
      </c>
      <c r="U7"/>
    </row>
    <row r="8" spans="1:21" s="5" customFormat="1">
      <c r="A8" s="6"/>
      <c r="P8" s="30">
        <v>2009</v>
      </c>
      <c r="Q8" s="27">
        <v>1</v>
      </c>
      <c r="R8"/>
      <c r="S8" s="26" t="s">
        <v>164</v>
      </c>
      <c r="T8" s="27">
        <v>8</v>
      </c>
      <c r="U8"/>
    </row>
    <row r="9" spans="1:21" s="5" customFormat="1">
      <c r="A9" s="6"/>
      <c r="P9" s="30">
        <v>2010</v>
      </c>
      <c r="Q9" s="27">
        <v>1</v>
      </c>
      <c r="R9"/>
      <c r="S9" s="26" t="s">
        <v>165</v>
      </c>
      <c r="T9" s="27">
        <v>6</v>
      </c>
      <c r="U9"/>
    </row>
    <row r="10" spans="1:21" s="5" customFormat="1">
      <c r="A10" s="6"/>
      <c r="P10" s="30">
        <v>2011</v>
      </c>
      <c r="Q10" s="27">
        <v>3</v>
      </c>
      <c r="R10"/>
      <c r="S10" s="26" t="s">
        <v>227</v>
      </c>
      <c r="T10" s="27">
        <v>8</v>
      </c>
      <c r="U10"/>
    </row>
    <row r="11" spans="1:21" s="5" customFormat="1">
      <c r="A11" s="6"/>
      <c r="P11" s="30">
        <v>2012</v>
      </c>
      <c r="Q11" s="27">
        <v>4</v>
      </c>
      <c r="R11"/>
      <c r="S11" s="26" t="s">
        <v>230</v>
      </c>
      <c r="T11" s="27">
        <v>10</v>
      </c>
      <c r="U11"/>
    </row>
    <row r="12" spans="1:21" s="5" customFormat="1">
      <c r="A12" s="6"/>
      <c r="P12" s="30">
        <v>2013</v>
      </c>
      <c r="Q12" s="27">
        <v>13</v>
      </c>
      <c r="R12"/>
      <c r="S12" s="26" t="s">
        <v>226</v>
      </c>
      <c r="T12" s="27">
        <v>6</v>
      </c>
      <c r="U12"/>
    </row>
    <row r="13" spans="1:21" s="5" customFormat="1">
      <c r="A13" s="6"/>
      <c r="P13" s="30">
        <v>2014</v>
      </c>
      <c r="Q13" s="27">
        <v>11</v>
      </c>
      <c r="R13"/>
      <c r="S13" s="26" t="s">
        <v>234</v>
      </c>
      <c r="T13" s="27">
        <v>3</v>
      </c>
      <c r="U13"/>
    </row>
    <row r="14" spans="1:21" s="5" customFormat="1">
      <c r="A14" s="6"/>
      <c r="P14" s="30">
        <v>2015</v>
      </c>
      <c r="Q14" s="27">
        <v>6</v>
      </c>
      <c r="R14"/>
      <c r="S14" s="26" t="s">
        <v>229</v>
      </c>
      <c r="T14" s="27">
        <v>3</v>
      </c>
      <c r="U14"/>
    </row>
    <row r="15" spans="1:21" s="5" customFormat="1">
      <c r="A15" s="6"/>
      <c r="P15" s="30">
        <v>2016</v>
      </c>
      <c r="Q15" s="27">
        <v>7</v>
      </c>
      <c r="R15"/>
      <c r="S15" s="26" t="s">
        <v>231</v>
      </c>
      <c r="T15" s="27">
        <v>2</v>
      </c>
      <c r="U15"/>
    </row>
    <row r="16" spans="1:21" s="5" customFormat="1">
      <c r="A16" s="6"/>
      <c r="P16" s="30">
        <v>2017</v>
      </c>
      <c r="Q16" s="27">
        <v>10</v>
      </c>
      <c r="R16"/>
      <c r="S16" s="26" t="s">
        <v>232</v>
      </c>
      <c r="T16" s="27">
        <v>3</v>
      </c>
      <c r="U16"/>
    </row>
    <row r="17" spans="1:21" s="5" customFormat="1">
      <c r="A17" s="6"/>
      <c r="P17" s="30">
        <v>2018</v>
      </c>
      <c r="Q17" s="27">
        <v>3</v>
      </c>
      <c r="R17"/>
      <c r="S17" s="26" t="s">
        <v>235</v>
      </c>
      <c r="T17" s="27">
        <v>3</v>
      </c>
      <c r="U17"/>
    </row>
    <row r="18" spans="1:21" s="5" customFormat="1">
      <c r="A18" s="6"/>
      <c r="I18" s="25" t="s">
        <v>199</v>
      </c>
      <c r="J18" t="s">
        <v>202</v>
      </c>
      <c r="P18" s="30">
        <v>2019</v>
      </c>
      <c r="Q18" s="27">
        <v>2</v>
      </c>
      <c r="R18"/>
      <c r="S18" s="26" t="s">
        <v>233</v>
      </c>
      <c r="T18" s="27">
        <v>3</v>
      </c>
      <c r="U18"/>
    </row>
    <row r="19" spans="1:21" s="5" customFormat="1">
      <c r="A19" s="6"/>
      <c r="I19" s="26" t="s">
        <v>159</v>
      </c>
      <c r="J19" s="27">
        <v>12</v>
      </c>
      <c r="P19" s="30">
        <v>2020</v>
      </c>
      <c r="Q19" s="27">
        <v>1</v>
      </c>
      <c r="R19"/>
      <c r="S19" s="26" t="s">
        <v>236</v>
      </c>
      <c r="T19" s="27">
        <v>3</v>
      </c>
      <c r="U19"/>
    </row>
    <row r="20" spans="1:21">
      <c r="A20" s="4"/>
      <c r="I20" s="26" t="s">
        <v>161</v>
      </c>
      <c r="J20" s="27">
        <v>7</v>
      </c>
      <c r="P20" s="30" t="s">
        <v>201</v>
      </c>
      <c r="Q20" s="27">
        <v>62</v>
      </c>
      <c r="S20" s="26" t="s">
        <v>228</v>
      </c>
      <c r="T20" s="27">
        <v>4</v>
      </c>
    </row>
    <row r="21" spans="1:21">
      <c r="A21" s="4"/>
      <c r="I21" s="26" t="s">
        <v>158</v>
      </c>
      <c r="J21" s="27">
        <v>15</v>
      </c>
      <c r="S21" s="26" t="s">
        <v>201</v>
      </c>
      <c r="T21" s="27">
        <v>62</v>
      </c>
    </row>
    <row r="22" spans="1:21">
      <c r="A22" s="4"/>
      <c r="I22" s="26" t="s">
        <v>156</v>
      </c>
      <c r="J22" s="27">
        <v>8</v>
      </c>
    </row>
    <row r="23" spans="1:21">
      <c r="A23" s="4"/>
      <c r="C23" s="25" t="s">
        <v>199</v>
      </c>
      <c r="D23" t="s">
        <v>202</v>
      </c>
      <c r="I23" s="26" t="s">
        <v>160</v>
      </c>
      <c r="J23" s="27">
        <v>10</v>
      </c>
    </row>
    <row r="24" spans="1:21">
      <c r="A24" s="4"/>
      <c r="C24" s="26" t="s">
        <v>151</v>
      </c>
      <c r="D24" s="27">
        <v>36</v>
      </c>
      <c r="I24" s="26" t="s">
        <v>157</v>
      </c>
      <c r="J24" s="27">
        <v>10</v>
      </c>
    </row>
    <row r="25" spans="1:21">
      <c r="A25" s="4"/>
      <c r="C25" s="26" t="s">
        <v>150</v>
      </c>
      <c r="D25" s="27">
        <v>26</v>
      </c>
      <c r="I25" s="26" t="s">
        <v>201</v>
      </c>
      <c r="J25" s="27">
        <v>62</v>
      </c>
    </row>
    <row r="26" spans="1:21">
      <c r="A26" s="4"/>
      <c r="C26" s="26" t="s">
        <v>201</v>
      </c>
      <c r="D26" s="27">
        <v>62</v>
      </c>
    </row>
    <row r="27" spans="1:21">
      <c r="A27" s="4"/>
    </row>
    <row r="28" spans="1:21">
      <c r="A28" s="4"/>
    </row>
    <row r="29" spans="1:21">
      <c r="A29" s="4"/>
    </row>
    <row r="30" spans="1:21">
      <c r="A30" s="4"/>
    </row>
    <row r="31" spans="1:21">
      <c r="A31" s="4"/>
    </row>
    <row r="32" spans="1:21" ht="15" customHeight="1">
      <c r="A32" s="4"/>
      <c r="G32" s="103"/>
      <c r="H32" s="103"/>
      <c r="I32" s="103"/>
      <c r="J32" s="103"/>
      <c r="K32" s="103"/>
      <c r="L32" s="103"/>
    </row>
    <row r="33" spans="1:12" ht="15" customHeight="1">
      <c r="A33" s="4"/>
      <c r="G33" s="103"/>
      <c r="H33" s="103"/>
      <c r="I33" s="103"/>
      <c r="J33" s="103"/>
      <c r="K33" s="103"/>
      <c r="L33" s="103"/>
    </row>
    <row r="34" spans="1:12" ht="15" customHeight="1">
      <c r="A34" s="4"/>
      <c r="G34" s="103"/>
      <c r="H34" s="103"/>
      <c r="I34" s="103"/>
      <c r="J34" s="103"/>
      <c r="K34" s="103"/>
      <c r="L34" s="103"/>
    </row>
    <row r="35" spans="1:12" ht="15" customHeight="1">
      <c r="A35" s="4"/>
      <c r="G35" s="103"/>
      <c r="H35" s="103"/>
      <c r="I35" s="103"/>
      <c r="J35" s="103"/>
      <c r="K35" s="103"/>
      <c r="L35" s="103"/>
    </row>
    <row r="36" spans="1:12" ht="15" customHeight="1">
      <c r="A36" s="48"/>
      <c r="G36" s="103"/>
      <c r="H36" s="103"/>
      <c r="I36" s="103"/>
      <c r="J36" s="103"/>
      <c r="K36" s="103"/>
      <c r="L36" s="103"/>
    </row>
    <row r="37" spans="1:12" ht="15" customHeight="1">
      <c r="A37" s="48"/>
      <c r="G37" s="103"/>
      <c r="H37" s="103"/>
      <c r="I37" s="103"/>
      <c r="J37" s="103"/>
      <c r="K37" s="103"/>
      <c r="L37" s="103"/>
    </row>
    <row r="38" spans="1:12" ht="15" customHeight="1">
      <c r="A38" s="48"/>
    </row>
    <row r="39" spans="1:12">
      <c r="A39" s="48"/>
    </row>
    <row r="40" spans="1:12"/>
    <row r="41" spans="1:12" hidden="1"/>
    <row r="42" spans="1:12" hidden="1"/>
    <row r="43" spans="1:12" hidden="1">
      <c r="D43" s="25" t="s">
        <v>199</v>
      </c>
      <c r="E43" t="s">
        <v>202</v>
      </c>
    </row>
    <row r="44" spans="1:12" hidden="1">
      <c r="D44" s="26" t="s">
        <v>212</v>
      </c>
      <c r="E44" s="27">
        <v>11</v>
      </c>
    </row>
    <row r="45" spans="1:12" hidden="1">
      <c r="D45" s="26" t="s">
        <v>214</v>
      </c>
      <c r="E45" s="27">
        <v>10</v>
      </c>
    </row>
    <row r="46" spans="1:12" hidden="1">
      <c r="D46" s="26" t="s">
        <v>215</v>
      </c>
      <c r="E46" s="27">
        <v>7</v>
      </c>
    </row>
    <row r="47" spans="1:12" hidden="1">
      <c r="D47" s="26" t="s">
        <v>216</v>
      </c>
      <c r="E47" s="27">
        <v>9</v>
      </c>
    </row>
    <row r="48" spans="1:12" hidden="1">
      <c r="D48" s="26" t="s">
        <v>217</v>
      </c>
      <c r="E48" s="27">
        <v>15</v>
      </c>
    </row>
    <row r="49" spans="4:5" hidden="1">
      <c r="D49" s="26" t="s">
        <v>200</v>
      </c>
      <c r="E49" s="27"/>
    </row>
    <row r="50" spans="4:5" hidden="1">
      <c r="D50" s="26" t="s">
        <v>218</v>
      </c>
      <c r="E50" s="27">
        <v>10</v>
      </c>
    </row>
    <row r="51" spans="4:5" hidden="1">
      <c r="D51" s="26" t="s">
        <v>201</v>
      </c>
      <c r="E51" s="27">
        <v>62</v>
      </c>
    </row>
  </sheetData>
  <mergeCells count="2">
    <mergeCell ref="A3:A4"/>
    <mergeCell ref="R3:U4"/>
  </mergeCells>
  <dataValidations count="7">
    <dataValidation type="list" allowBlank="1" showInputMessage="1" sqref="K33:K37" xr:uid="{BB8F0E17-3892-4B4C-AC23-1D73437C2C63}">
      <formula1>"Process, Decision, Subprocess, Start, End, Document, Data, Database, External Data, On-page reference, Off-page reference, Custom 1, Custom 2, Custom 3, Custom 4"</formula1>
    </dataValidation>
    <dataValidation allowBlank="1" showInputMessage="1" showErrorMessage="1" promptTitle="Process Step ID" prompt="Enter a unique process step ID for each shape in the diagram." sqref="G32" xr:uid="{3755FDA1-B5ED-2440-ACF9-1B7249293D9F}"/>
    <dataValidation allowBlank="1" showInputMessage="1" showErrorMessage="1" promptTitle="Process Step Description" prompt="Enter text for the process step that will appear in the shape." sqref="H32" xr:uid="{FDE7062A-210F-8A42-A2CF-2B030C3B5262}"/>
    <dataValidation allowBlank="1" showInputMessage="1" showErrorMessage="1" promptTitle="Next Step ID" prompt="Enter the process step ID for the next step. Use commas to separate multiple next steps, such as &quot;P600,P700&quot;." sqref="I32" xr:uid="{52D43FFD-52A6-694E-8CCE-4B756027C8D2}"/>
    <dataValidation allowBlank="1" showInputMessage="1" showErrorMessage="1" promptTitle="Connector Label" prompt="If desired, label the connector to the next step. Use commas to separate multiple next steps, such as &quot;Yes,No&quot;." sqref="J32" xr:uid="{73A9B653-8417-7B4F-BEB4-2122A170FA2B}"/>
    <dataValidation allowBlank="1" showInputMessage="1" showErrorMessage="1" promptTitle="Shape Type" prompt="Enter the type of shape you'd like each process step to use." sqref="K32" xr:uid="{C675E776-E0BA-3642-B51E-CB1879F9CF5E}"/>
    <dataValidation allowBlank="1" showInputMessage="1" showErrorMessage="1" promptTitle="Alt Text" prompt="Alt Text helps people with visual impairments understand your diagram. Describe each process step." sqref="L32" xr:uid="{5CD39F39-236A-F346-8D73-EF75A7F56676}"/>
  </dataValidations>
  <hyperlinks>
    <hyperlink ref="R3" r:id="rId6" display="Powered by OrgOS" xr:uid="{5588E9AB-25C4-424E-B690-466881E81FAA}"/>
    <hyperlink ref="R3:U4" r:id="rId7" display="Powered Bream.in" xr:uid="{7A2667DF-01E6-9A41-981C-908FE00D29C1}"/>
  </hyperlinks>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BFC2F-6C1F-498D-9340-DFC0F8E00A7B}">
  <sheetPr codeName="Sheet3">
    <tabColor rgb="FF009688"/>
  </sheetPr>
  <dimension ref="A1:R39"/>
  <sheetViews>
    <sheetView showGridLines="0" showRowColHeaders="0" workbookViewId="0">
      <selection activeCell="B5" sqref="B5"/>
    </sheetView>
  </sheetViews>
  <sheetFormatPr baseColWidth="10" defaultColWidth="0" defaultRowHeight="13" zeroHeight="1"/>
  <cols>
    <col min="1" max="1" width="2.83203125" style="7" customWidth="1"/>
    <col min="2" max="2" width="20.33203125" style="7" customWidth="1"/>
    <col min="3" max="8" width="9.1640625" style="7" customWidth="1"/>
    <col min="9" max="9" width="15.6640625" style="7" customWidth="1"/>
    <col min="10" max="12" width="9.1640625" style="7" customWidth="1"/>
    <col min="13" max="13" width="15.6640625" style="7" customWidth="1"/>
    <col min="14" max="14" width="9.1640625" style="7" customWidth="1"/>
    <col min="15" max="15" width="10.33203125" style="7" customWidth="1"/>
    <col min="16" max="16" width="9.1640625" style="7" customWidth="1"/>
    <col min="17" max="17" width="44.5" style="7" customWidth="1"/>
    <col min="18" max="18" width="9.1640625" style="7" customWidth="1"/>
    <col min="19" max="16384" width="9.1640625" style="7" hidden="1"/>
  </cols>
  <sheetData>
    <row r="1" spans="1:18" ht="45" customHeight="1">
      <c r="A1" s="60" t="s">
        <v>180</v>
      </c>
      <c r="B1" s="61"/>
      <c r="C1" s="61"/>
      <c r="D1" s="61"/>
      <c r="E1" s="61"/>
      <c r="F1" s="61"/>
      <c r="G1" s="61"/>
      <c r="H1" s="61"/>
      <c r="I1" s="61"/>
      <c r="J1" s="61"/>
      <c r="K1" s="61"/>
      <c r="L1" s="61"/>
      <c r="M1" s="61"/>
      <c r="N1" s="61"/>
      <c r="O1" s="55"/>
      <c r="P1" s="61"/>
      <c r="Q1" s="61"/>
      <c r="R1" s="84" t="s">
        <v>274</v>
      </c>
    </row>
    <row r="2" spans="1:18"/>
    <row r="3" spans="1:18">
      <c r="B3" s="11" t="s">
        <v>172</v>
      </c>
      <c r="H3" s="9" t="s">
        <v>181</v>
      </c>
      <c r="I3" s="13">
        <v>2019</v>
      </c>
      <c r="L3" s="9" t="s">
        <v>182</v>
      </c>
      <c r="M3" s="14">
        <f>+I3-1</f>
        <v>2018</v>
      </c>
    </row>
    <row r="4" spans="1:18" ht="16.5" customHeight="1"/>
    <row r="5" spans="1:18" ht="30" customHeight="1">
      <c r="B5" s="10" t="s">
        <v>173</v>
      </c>
    </row>
    <row r="6" spans="1:18" ht="75" customHeight="1">
      <c r="B6" s="44">
        <f>VLOOKUP(B5,'Background Data'!$C$9:$D$17,2,0)</f>
        <v>27</v>
      </c>
    </row>
    <row r="7" spans="1:18" ht="16.5" customHeight="1"/>
    <row r="8" spans="1:18" ht="30" customHeight="1">
      <c r="B8" s="10" t="s">
        <v>174</v>
      </c>
    </row>
    <row r="9" spans="1:18" ht="75" customHeight="1">
      <c r="B9" s="23">
        <f>VLOOKUP(B8,'Background Data'!$C$9:$D$17,2,0)</f>
        <v>2</v>
      </c>
    </row>
    <row r="10" spans="1:18" ht="16.5" customHeight="1"/>
    <row r="11" spans="1:18" ht="30" customHeight="1">
      <c r="B11" s="10" t="s">
        <v>175</v>
      </c>
    </row>
    <row r="12" spans="1:18" ht="75" customHeight="1">
      <c r="B12" s="46">
        <f>VLOOKUP(B11,'Background Data'!$C$9:$D$17,2,0)</f>
        <v>3</v>
      </c>
      <c r="Q12" s="78"/>
    </row>
    <row r="13" spans="1:18" ht="16.5" customHeight="1">
      <c r="Q13" s="78"/>
    </row>
    <row r="14" spans="1:18" ht="30" customHeight="1">
      <c r="B14" s="10" t="s">
        <v>15</v>
      </c>
      <c r="Q14" s="78"/>
    </row>
    <row r="15" spans="1:18" ht="75" customHeight="1">
      <c r="B15" s="24">
        <f>VLOOKUP(B14,'Background Data'!$C$9:$D$17,2,0)</f>
        <v>0.88888888888888884</v>
      </c>
      <c r="Q15" s="78"/>
    </row>
    <row r="16" spans="1:18" ht="16.5" customHeight="1"/>
    <row r="17" spans="2:2" ht="30" customHeight="1">
      <c r="B17" s="10" t="s">
        <v>14</v>
      </c>
    </row>
    <row r="18" spans="2:2" ht="75" customHeight="1">
      <c r="B18" s="24">
        <f>VLOOKUP(B17,'Background Data'!$C$9:$D$17,2,0)</f>
        <v>0.1111111111111111</v>
      </c>
    </row>
    <row r="19" spans="2:2"/>
    <row r="20" spans="2:2" hidden="1"/>
    <row r="21" spans="2:2" hidden="1"/>
    <row r="22" spans="2:2" hidden="1"/>
    <row r="23" spans="2:2" hidden="1"/>
    <row r="24" spans="2:2" hidden="1"/>
    <row r="25" spans="2:2" hidden="1"/>
    <row r="26" spans="2:2" hidden="1"/>
    <row r="27" spans="2:2" hidden="1"/>
    <row r="28" spans="2:2" hidden="1"/>
    <row r="29" spans="2:2" hidden="1"/>
    <row r="30" spans="2:2" hidden="1"/>
    <row r="31" spans="2:2" hidden="1"/>
    <row r="32" spans="2:2" hidden="1"/>
    <row r="33" hidden="1"/>
    <row r="34" hidden="1"/>
    <row r="35" hidden="1"/>
    <row r="36" hidden="1"/>
    <row r="37" hidden="1"/>
    <row r="38" hidden="1"/>
    <row r="39" hidden="1"/>
  </sheetData>
  <hyperlinks>
    <hyperlink ref="R1" r:id="rId1" xr:uid="{4A67E525-EA57-449D-8EB0-B247E08E665C}"/>
  </hyperlinks>
  <pageMargins left="0.7" right="0.7" top="0.75" bottom="0.75" header="0.3" footer="0.3"/>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3CABBC4-57D5-438A-B0F0-B1B85CF36CC6}">
          <x14:formula1>
            <xm:f>'Background Data'!$C$9:$C$17</xm:f>
          </x14:formula1>
          <xm:sqref>B5 B8 B11 B14 B17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DAE5D-1BB6-42C4-B6E7-6B70EDD6B51E}">
  <sheetPr codeName="Sheet5">
    <tabColor rgb="FF009688"/>
  </sheetPr>
  <dimension ref="A1:J37"/>
  <sheetViews>
    <sheetView showGridLines="0" showRowColHeaders="0" workbookViewId="0">
      <selection activeCell="H1" sqref="H1"/>
    </sheetView>
  </sheetViews>
  <sheetFormatPr baseColWidth="10" defaultColWidth="0" defaultRowHeight="15" zeroHeight="1"/>
  <cols>
    <col min="1" max="2" width="9.1640625" style="5" customWidth="1"/>
    <col min="3" max="3" width="21.1640625" style="5" customWidth="1"/>
    <col min="4" max="4" width="31.5" style="5" customWidth="1"/>
    <col min="5" max="5" width="15.33203125" style="5" customWidth="1"/>
    <col min="6" max="6" width="31.5" style="5" customWidth="1"/>
    <col min="7" max="8" width="9.1640625" style="5" customWidth="1"/>
    <col min="9" max="9" width="9.1640625" style="5" hidden="1" customWidth="1"/>
    <col min="10" max="10" width="9.83203125" style="5" hidden="1" customWidth="1"/>
    <col min="11" max="16384" width="9.1640625" style="5" hidden="1"/>
  </cols>
  <sheetData>
    <row r="1" spans="1:8" s="7" customFormat="1" ht="45" customHeight="1">
      <c r="A1" s="60" t="s">
        <v>220</v>
      </c>
      <c r="B1" s="61"/>
      <c r="C1" s="61"/>
      <c r="D1" s="61"/>
      <c r="E1" s="61"/>
      <c r="F1" s="61"/>
      <c r="G1" s="61"/>
      <c r="H1" s="84" t="s">
        <v>274</v>
      </c>
    </row>
    <row r="2" spans="1:8" s="63" customFormat="1"/>
    <row r="3" spans="1:8" s="7" customFormat="1" ht="13">
      <c r="A3" s="64"/>
      <c r="B3" s="64"/>
      <c r="C3" s="65" t="s">
        <v>222</v>
      </c>
      <c r="D3" s="52" t="s">
        <v>228</v>
      </c>
      <c r="E3" s="67" t="s">
        <v>221</v>
      </c>
      <c r="F3" s="53" t="s">
        <v>227</v>
      </c>
      <c r="G3" s="64"/>
      <c r="H3" s="64"/>
    </row>
    <row r="4" spans="1:8">
      <c r="A4" s="63"/>
      <c r="B4" s="63"/>
      <c r="C4" s="63"/>
      <c r="D4" s="63"/>
      <c r="E4" s="63"/>
      <c r="F4" s="63"/>
      <c r="G4" s="63"/>
      <c r="H4" s="63"/>
    </row>
    <row r="5" spans="1:8">
      <c r="A5" s="63"/>
      <c r="B5" s="63"/>
      <c r="C5" s="63"/>
      <c r="D5" s="63"/>
      <c r="E5" s="63"/>
      <c r="F5" s="63"/>
      <c r="G5" s="63"/>
      <c r="H5" s="63"/>
    </row>
    <row r="6" spans="1:8">
      <c r="A6" s="63"/>
      <c r="B6" s="63"/>
      <c r="C6" s="63"/>
      <c r="D6" s="63"/>
      <c r="E6" s="63"/>
      <c r="F6" s="63"/>
      <c r="G6" s="63"/>
      <c r="H6" s="63"/>
    </row>
    <row r="7" spans="1:8" ht="45" customHeight="1">
      <c r="A7" s="63"/>
      <c r="B7" s="63"/>
      <c r="C7" s="63"/>
      <c r="D7" s="68">
        <f>COUNTIFS(emp_db[ID],"&gt;"&amp;0,emp_db[Department],'Department Comparison'!D3)-COUNTIFS(emp_db[ID],"&gt;"&amp;0,emp_db[Department],'Department Comparison'!D3,emp_db[Exit Date],"&gt;"&amp;0)</f>
        <v>3</v>
      </c>
      <c r="E7" s="66" t="s">
        <v>223</v>
      </c>
      <c r="F7" s="71">
        <f>COUNTIFS(emp_db[ID],"&gt;"&amp;0,emp_db[Department],'Department Comparison'!F3)-COUNTIFS(emp_db[ID],"&gt;"&amp;0,emp_db[Department],'Department Comparison'!F3,emp_db[Exit Date],"&gt;"&amp;0)</f>
        <v>4</v>
      </c>
      <c r="G7" s="63"/>
      <c r="H7" s="63"/>
    </row>
    <row r="8" spans="1:8" ht="45" customHeight="1">
      <c r="A8" s="63"/>
      <c r="B8" s="63"/>
      <c r="C8" s="63"/>
      <c r="D8" s="68">
        <f>COUNTIFS(emp_db[Exit Date],"&gt;"&amp;0,emp_db[Department],'Department Comparison'!$D$3)</f>
        <v>1</v>
      </c>
      <c r="E8" s="66" t="s">
        <v>175</v>
      </c>
      <c r="F8" s="71">
        <f>COUNTIFS(emp_db[Exit Date],"&gt;"&amp;0,emp_db[Department],'Department Comparison'!$F$3)</f>
        <v>4</v>
      </c>
      <c r="G8" s="63"/>
      <c r="H8" s="63"/>
    </row>
    <row r="9" spans="1:8" ht="45" customHeight="1">
      <c r="A9" s="63"/>
      <c r="B9" s="63"/>
      <c r="C9" s="63"/>
      <c r="D9" s="69">
        <f>D8/COUNTIF(emp_db[Department],'Department Comparison'!$D$3)</f>
        <v>0.25</v>
      </c>
      <c r="E9" s="66" t="s">
        <v>224</v>
      </c>
      <c r="F9" s="72">
        <f>F8/COUNTIF(emp_db[Department],'Department Comparison'!$F$3)</f>
        <v>0.5</v>
      </c>
      <c r="G9" s="63"/>
      <c r="H9" s="63"/>
    </row>
    <row r="10" spans="1:8" ht="45" customHeight="1">
      <c r="A10" s="63"/>
      <c r="B10" s="63"/>
      <c r="C10" s="63"/>
      <c r="D10" s="70">
        <f ca="1">AVERAGEIFS(emp_db[Tenure],emp_db[Department],D3)</f>
        <v>4.4363013698630134</v>
      </c>
      <c r="E10" s="66" t="s">
        <v>225</v>
      </c>
      <c r="F10" s="73">
        <f ca="1">AVERAGEIFS(emp_db[Tenure],emp_db[Department],F3)</f>
        <v>4.0102739726027394</v>
      </c>
      <c r="G10" s="63"/>
      <c r="H10" s="63"/>
    </row>
    <row r="11" spans="1:8" ht="45" customHeight="1">
      <c r="A11" s="63"/>
      <c r="B11" s="63"/>
      <c r="C11" s="63"/>
      <c r="D11" s="63"/>
      <c r="E11" s="66"/>
      <c r="F11" s="63"/>
      <c r="G11" s="63"/>
      <c r="H11" s="63"/>
    </row>
    <row r="12" spans="1:8" ht="45" hidden="1" customHeight="1">
      <c r="E12" s="51"/>
    </row>
    <row r="13" spans="1:8" ht="45" hidden="1" customHeight="1">
      <c r="E13" s="11"/>
    </row>
    <row r="14" spans="1:8" ht="45" hidden="1" customHeight="1">
      <c r="E14" s="11"/>
    </row>
    <row r="15" spans="1:8" ht="45" hidden="1" customHeight="1">
      <c r="E15" s="11"/>
    </row>
    <row r="16" spans="1:8" ht="45" hidden="1" customHeight="1">
      <c r="E16" s="11"/>
    </row>
    <row r="17" spans="5:5" ht="45" hidden="1" customHeight="1">
      <c r="E17" s="11"/>
    </row>
    <row r="18" spans="5:5" ht="45" hidden="1" customHeight="1">
      <c r="E18" s="11"/>
    </row>
    <row r="19" spans="5:5" ht="45" hidden="1" customHeight="1">
      <c r="E19" s="11"/>
    </row>
    <row r="20" spans="5:5" ht="45" hidden="1" customHeight="1">
      <c r="E20" s="8"/>
    </row>
    <row r="21" spans="5:5" ht="45" hidden="1" customHeight="1">
      <c r="E21" s="16"/>
    </row>
    <row r="22" spans="5:5" ht="45" hidden="1" customHeight="1">
      <c r="E22" s="16"/>
    </row>
    <row r="23" spans="5:5" ht="45" hidden="1" customHeight="1">
      <c r="E23" s="16"/>
    </row>
    <row r="24" spans="5:5" ht="45" hidden="1" customHeight="1">
      <c r="E24" s="16"/>
    </row>
    <row r="25" spans="5:5" ht="45" hidden="1" customHeight="1"/>
    <row r="26" spans="5:5" hidden="1"/>
    <row r="27" spans="5:5" hidden="1"/>
    <row r="28" spans="5:5" hidden="1"/>
    <row r="29" spans="5:5" hidden="1"/>
    <row r="30" spans="5:5" hidden="1"/>
    <row r="31" spans="5:5" hidden="1"/>
    <row r="32" spans="5:5" hidden="1"/>
    <row r="33" hidden="1"/>
    <row r="34" hidden="1"/>
    <row r="35" hidden="1"/>
    <row r="36" hidden="1"/>
    <row r="37" hidden="1"/>
  </sheetData>
  <dataValidations count="1">
    <dataValidation type="list" allowBlank="1" showInputMessage="1" showErrorMessage="1" sqref="D3 F3" xr:uid="{1A67F49C-349E-412A-B6EB-FED1D2FA8371}">
      <formula1>INDIRECT("dept")</formula1>
    </dataValidation>
  </dataValidations>
  <hyperlinks>
    <hyperlink ref="H1" r:id="rId1" xr:uid="{D27E8470-5864-4BBB-94D2-8E0B5D3B457B}"/>
  </hyperlinks>
  <pageMargins left="0.7" right="0.7" top="0.75" bottom="0.75" header="0.3" footer="0.3"/>
  <pageSetup orientation="portrait" horizontalDpi="0" verticalDpi="0"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B271B-B887-4AC1-A04C-25F0E432A5CD}">
  <sheetPr codeName="Sheet6"/>
  <dimension ref="C6:P50"/>
  <sheetViews>
    <sheetView topLeftCell="A33" workbookViewId="0">
      <selection activeCell="D14" sqref="D14"/>
    </sheetView>
  </sheetViews>
  <sheetFormatPr baseColWidth="10" defaultColWidth="9.1640625" defaultRowHeight="15"/>
  <cols>
    <col min="1" max="2" width="9.1640625" style="5"/>
    <col min="3" max="3" width="29.5" style="5" customWidth="1"/>
    <col min="4" max="4" width="17.33203125" style="5" customWidth="1"/>
    <col min="5" max="9" width="12.1640625" style="5" bestFit="1" customWidth="1"/>
    <col min="10" max="10" width="9.5" style="5" bestFit="1" customWidth="1"/>
    <col min="11" max="11" width="12.1640625" style="5" bestFit="1" customWidth="1"/>
    <col min="12" max="12" width="9.5" style="5" bestFit="1" customWidth="1"/>
    <col min="13" max="15" width="12.1640625" style="5" bestFit="1" customWidth="1"/>
    <col min="16" max="16" width="9.6640625" style="5" bestFit="1" customWidth="1"/>
    <col min="17" max="16384" width="9.1640625" style="5"/>
  </cols>
  <sheetData>
    <row r="6" spans="3:16">
      <c r="E6" s="15">
        <f>EOMONTH('Background Data'!E8,0)</f>
        <v>43496</v>
      </c>
    </row>
    <row r="7" spans="3:16">
      <c r="E7" s="18">
        <v>1</v>
      </c>
      <c r="F7" s="18">
        <v>2</v>
      </c>
      <c r="G7" s="18">
        <v>3</v>
      </c>
      <c r="H7" s="18">
        <v>4</v>
      </c>
      <c r="I7" s="18">
        <v>5</v>
      </c>
      <c r="J7" s="18">
        <v>6</v>
      </c>
      <c r="K7" s="18">
        <v>7</v>
      </c>
      <c r="L7" s="18">
        <v>8</v>
      </c>
      <c r="M7" s="18">
        <v>9</v>
      </c>
      <c r="N7" s="18">
        <v>10</v>
      </c>
      <c r="O7" s="18">
        <v>11</v>
      </c>
      <c r="P7" s="18">
        <v>12</v>
      </c>
    </row>
    <row r="8" spans="3:16">
      <c r="E8" s="15">
        <f>DATE('Monthly Dashboard'!$I$3,E7,1)</f>
        <v>43466</v>
      </c>
      <c r="F8" s="15">
        <f>DATE('Monthly Dashboard'!$I$3,F7,1)</f>
        <v>43497</v>
      </c>
      <c r="G8" s="15">
        <f>DATE('Monthly Dashboard'!$I$3,G7,1)</f>
        <v>43525</v>
      </c>
      <c r="H8" s="15">
        <f>DATE('Monthly Dashboard'!$I$3,H7,1)</f>
        <v>43556</v>
      </c>
      <c r="I8" s="15">
        <f>DATE('Monthly Dashboard'!$I$3,I7,1)</f>
        <v>43586</v>
      </c>
      <c r="J8" s="15">
        <f>DATE('Monthly Dashboard'!$I$3,J7,1)</f>
        <v>43617</v>
      </c>
      <c r="K8" s="15">
        <f>DATE('Monthly Dashboard'!$I$3,K7,1)</f>
        <v>43647</v>
      </c>
      <c r="L8" s="15">
        <f>DATE('Monthly Dashboard'!$I$3,L7,1)</f>
        <v>43678</v>
      </c>
      <c r="M8" s="15">
        <f>DATE('Monthly Dashboard'!$I$3,M7,1)</f>
        <v>43709</v>
      </c>
      <c r="N8" s="15">
        <f>DATE('Monthly Dashboard'!$I$3,N7,1)</f>
        <v>43739</v>
      </c>
      <c r="O8" s="15">
        <f>DATE('Monthly Dashboard'!$I$3,O7,1)</f>
        <v>43770</v>
      </c>
      <c r="P8" s="15">
        <f>DATE('Monthly Dashboard'!$I$3,P7,1)</f>
        <v>43800</v>
      </c>
    </row>
    <row r="9" spans="3:16">
      <c r="C9" s="7" t="s">
        <v>173</v>
      </c>
      <c r="D9" s="12">
        <f>MAX(emp_db[ID])-COUNTIF(emp_db[Exit Date],"&gt;"&amp;0)</f>
        <v>27</v>
      </c>
      <c r="E9" s="5">
        <f>COUNTIFS(emp_db[Column1],"&lt;="&amp;EOMONTH('Background Data'!E8,0))-COUNTIFS(emp_db[Exit Date],"&lt;="&amp;EOMONTH('Background Data'!E8,0))</f>
        <v>26</v>
      </c>
      <c r="F9" s="5">
        <f>COUNTIFS(emp_db[Column1],"&lt;="&amp;EOMONTH('Background Data'!F8,0))-COUNTIFS(emp_db[Exit Date],"&lt;="&amp;EOMONTH('Background Data'!F8,0))</f>
        <v>27</v>
      </c>
      <c r="G9" s="5">
        <f>COUNTIFS(emp_db[Column1],"&lt;="&amp;EOMONTH('Background Data'!G8,0))-COUNTIFS(emp_db[Exit Date],"&lt;="&amp;EOMONTH('Background Data'!G8,0))</f>
        <v>27</v>
      </c>
      <c r="H9" s="5">
        <f>COUNTIFS(emp_db[Column1],"&lt;="&amp;EOMONTH('Background Data'!H8,0))-COUNTIFS(emp_db[Exit Date],"&lt;="&amp;EOMONTH('Background Data'!H8,0))</f>
        <v>26</v>
      </c>
      <c r="I9" s="5">
        <f>COUNTIFS(emp_db[Column1],"&lt;="&amp;EOMONTH('Background Data'!I8,0))-COUNTIFS(emp_db[Exit Date],"&lt;="&amp;EOMONTH('Background Data'!I8,0))</f>
        <v>26</v>
      </c>
      <c r="J9" s="5">
        <f>COUNTIFS(emp_db[Column1],"&lt;="&amp;EOMONTH('Background Data'!J8,0))-COUNTIFS(emp_db[Exit Date],"&lt;="&amp;EOMONTH('Background Data'!J8,0))</f>
        <v>26</v>
      </c>
      <c r="K9" s="5">
        <f>COUNTIFS(emp_db[Column1],"&lt;="&amp;EOMONTH('Background Data'!K8,0))-COUNTIFS(emp_db[Exit Date],"&lt;="&amp;EOMONTH('Background Data'!K8,0))</f>
        <v>26</v>
      </c>
      <c r="L9" s="5">
        <f>COUNTIFS(emp_db[Column1],"&lt;="&amp;EOMONTH('Background Data'!L8,0))-COUNTIFS(emp_db[Exit Date],"&lt;="&amp;EOMONTH('Background Data'!L8,0))</f>
        <v>25</v>
      </c>
      <c r="M9" s="5">
        <f>COUNTIFS(emp_db[Column1],"&lt;="&amp;EOMONTH('Background Data'!M8,0))-COUNTIFS(emp_db[Exit Date],"&lt;="&amp;EOMONTH('Background Data'!M8,0))</f>
        <v>25</v>
      </c>
      <c r="N9" s="5">
        <f>COUNTIFS(emp_db[Column1],"&lt;="&amp;EOMONTH('Background Data'!N8,0))-COUNTIFS(emp_db[Exit Date],"&lt;="&amp;EOMONTH('Background Data'!N8,0))</f>
        <v>25</v>
      </c>
      <c r="O9" s="5">
        <f>COUNTIFS(emp_db[Column1],"&lt;="&amp;EOMONTH('Background Data'!O8,0))-COUNTIFS(emp_db[Exit Date],"&lt;="&amp;EOMONTH('Background Data'!O8,0))</f>
        <v>26</v>
      </c>
      <c r="P9" s="5">
        <f>COUNTIFS(emp_db[Column1],"&lt;="&amp;EOMONTH('Background Data'!P8,0))-COUNTIFS(emp_db[Exit Date],"&lt;="&amp;EOMONTH('Background Data'!P8,0))</f>
        <v>26</v>
      </c>
    </row>
    <row r="10" spans="3:16">
      <c r="C10" s="7" t="s">
        <v>174</v>
      </c>
      <c r="D10" s="16">
        <f>SUM(E10:P10)</f>
        <v>2</v>
      </c>
      <c r="E10" s="5">
        <f>COUNTIFS(emp_db[Column1],"&gt;="&amp;'Background Data'!E$8,emp_db[Column1],"&lt;="&amp;EOMONTH('Background Data'!E$8,0))</f>
        <v>0</v>
      </c>
      <c r="F10" s="5">
        <f>COUNTIFS(emp_db[Column1],"&gt;="&amp;'Background Data'!F$8,emp_db[Column1],"&lt;="&amp;EOMONTH('Background Data'!F$8,0))</f>
        <v>1</v>
      </c>
      <c r="G10" s="5">
        <f>COUNTIFS(emp_db[Column1],"&gt;="&amp;'Background Data'!G$8,emp_db[Column1],"&lt;="&amp;EOMONTH('Background Data'!G$8,0))</f>
        <v>0</v>
      </c>
      <c r="H10" s="5">
        <f>COUNTIFS(emp_db[Column1],"&gt;="&amp;'Background Data'!H$8,emp_db[Column1],"&lt;="&amp;EOMONTH('Background Data'!H$8,0))</f>
        <v>0</v>
      </c>
      <c r="I10" s="5">
        <f>COUNTIFS(emp_db[Column1],"&gt;="&amp;'Background Data'!I$8,emp_db[Column1],"&lt;="&amp;EOMONTH('Background Data'!I$8,0))</f>
        <v>0</v>
      </c>
      <c r="J10" s="5">
        <f>COUNTIFS(emp_db[Column1],"&gt;="&amp;'Background Data'!J$8,emp_db[Column1],"&lt;="&amp;EOMONTH('Background Data'!J$8,0))</f>
        <v>0</v>
      </c>
      <c r="K10" s="5">
        <f>COUNTIFS(emp_db[Column1],"&gt;="&amp;'Background Data'!K$8,emp_db[Column1],"&lt;="&amp;EOMONTH('Background Data'!K$8,0))</f>
        <v>0</v>
      </c>
      <c r="L10" s="5">
        <f>COUNTIFS(emp_db[Column1],"&gt;="&amp;'Background Data'!L$8,emp_db[Column1],"&lt;="&amp;EOMONTH('Background Data'!L$8,0))</f>
        <v>0</v>
      </c>
      <c r="M10" s="5">
        <f>COUNTIFS(emp_db[Column1],"&gt;="&amp;'Background Data'!M$8,emp_db[Column1],"&lt;="&amp;EOMONTH('Background Data'!M$8,0))</f>
        <v>0</v>
      </c>
      <c r="N10" s="5">
        <f>COUNTIFS(emp_db[Column1],"&gt;="&amp;'Background Data'!N$8,emp_db[Column1],"&lt;="&amp;EOMONTH('Background Data'!N$8,0))</f>
        <v>0</v>
      </c>
      <c r="O10" s="5">
        <f>COUNTIFS(emp_db[Column1],"&gt;="&amp;'Background Data'!O$8,emp_db[Column1],"&lt;="&amp;EOMONTH('Background Data'!O$8,0))</f>
        <v>1</v>
      </c>
      <c r="P10" s="5">
        <f>COUNTIFS(emp_db[Column1],"&gt;="&amp;'Background Data'!P$8,emp_db[Column1],"&lt;="&amp;EOMONTH('Background Data'!P$8,0))</f>
        <v>0</v>
      </c>
    </row>
    <row r="11" spans="3:16">
      <c r="C11" s="7" t="s">
        <v>175</v>
      </c>
      <c r="D11" s="16">
        <f>SUM(E11:P11)</f>
        <v>3</v>
      </c>
      <c r="E11" s="5">
        <f>COUNTIFS(emp_db[Exit Date],"&gt;="&amp;'Background Data'!E$8,emp_db[Exit Date],"&lt;="&amp;EOMONTH('Background Data'!E$8,0))</f>
        <v>1</v>
      </c>
      <c r="F11" s="5">
        <f>COUNTIFS(emp_db[Exit Date],"&gt;="&amp;'Background Data'!F$8,emp_db[Exit Date],"&lt;="&amp;EOMONTH('Background Data'!F$8,0))</f>
        <v>0</v>
      </c>
      <c r="G11" s="5">
        <f>COUNTIFS(emp_db[Exit Date],"&gt;="&amp;'Background Data'!G$8,emp_db[Exit Date],"&lt;="&amp;EOMONTH('Background Data'!G$8,0))</f>
        <v>0</v>
      </c>
      <c r="H11" s="5">
        <f>COUNTIFS(emp_db[Exit Date],"&gt;="&amp;'Background Data'!H$8,emp_db[Exit Date],"&lt;="&amp;EOMONTH('Background Data'!H$8,0))</f>
        <v>1</v>
      </c>
      <c r="I11" s="5">
        <f>COUNTIFS(emp_db[Exit Date],"&gt;="&amp;'Background Data'!I$8,emp_db[Exit Date],"&lt;="&amp;EOMONTH('Background Data'!I$8,0))</f>
        <v>0</v>
      </c>
      <c r="J11" s="5">
        <f>COUNTIFS(emp_db[Exit Date],"&gt;="&amp;'Background Data'!J$8,emp_db[Exit Date],"&lt;="&amp;EOMONTH('Background Data'!J$8,0))</f>
        <v>0</v>
      </c>
      <c r="K11" s="5">
        <f>COUNTIFS(emp_db[Exit Date],"&gt;="&amp;'Background Data'!K$8,emp_db[Exit Date],"&lt;="&amp;EOMONTH('Background Data'!K$8,0))</f>
        <v>0</v>
      </c>
      <c r="L11" s="5">
        <f>COUNTIFS(emp_db[Exit Date],"&gt;="&amp;'Background Data'!L$8,emp_db[Exit Date],"&lt;="&amp;EOMONTH('Background Data'!L$8,0))</f>
        <v>1</v>
      </c>
      <c r="M11" s="5">
        <f>COUNTIFS(emp_db[Exit Date],"&gt;="&amp;'Background Data'!M$8,emp_db[Exit Date],"&lt;="&amp;EOMONTH('Background Data'!M$8,0))</f>
        <v>0</v>
      </c>
      <c r="N11" s="5">
        <f>COUNTIFS(emp_db[Exit Date],"&gt;="&amp;'Background Data'!N$8,emp_db[Exit Date],"&lt;="&amp;EOMONTH('Background Data'!N$8,0))</f>
        <v>0</v>
      </c>
      <c r="O11" s="5">
        <f>COUNTIFS(emp_db[Exit Date],"&gt;="&amp;'Background Data'!O$8,emp_db[Exit Date],"&lt;="&amp;EOMONTH('Background Data'!O$8,0))</f>
        <v>0</v>
      </c>
      <c r="P11" s="5">
        <f>COUNTIFS(emp_db[Exit Date],"&gt;="&amp;'Background Data'!P$8,emp_db[Exit Date],"&lt;="&amp;EOMONTH('Background Data'!P$8,0))</f>
        <v>0</v>
      </c>
    </row>
    <row r="12" spans="3:16">
      <c r="C12" s="7" t="s">
        <v>14</v>
      </c>
      <c r="D12" s="19">
        <f>D11/D9</f>
        <v>0.1111111111111111</v>
      </c>
      <c r="E12" s="19">
        <f>E11/E9</f>
        <v>3.8461538461538464E-2</v>
      </c>
      <c r="F12" s="19">
        <f t="shared" ref="F12:P12" si="0">F11/F9</f>
        <v>0</v>
      </c>
      <c r="G12" s="19">
        <f t="shared" si="0"/>
        <v>0</v>
      </c>
      <c r="H12" s="19">
        <f t="shared" si="0"/>
        <v>3.8461538461538464E-2</v>
      </c>
      <c r="I12" s="19">
        <f t="shared" si="0"/>
        <v>0</v>
      </c>
      <c r="J12" s="19">
        <f t="shared" si="0"/>
        <v>0</v>
      </c>
      <c r="K12" s="19">
        <f t="shared" si="0"/>
        <v>0</v>
      </c>
      <c r="L12" s="19">
        <f t="shared" si="0"/>
        <v>0.04</v>
      </c>
      <c r="M12" s="19">
        <f t="shared" si="0"/>
        <v>0</v>
      </c>
      <c r="N12" s="19">
        <f t="shared" si="0"/>
        <v>0</v>
      </c>
      <c r="O12" s="19">
        <f t="shared" si="0"/>
        <v>0</v>
      </c>
      <c r="P12" s="19">
        <f t="shared" si="0"/>
        <v>0</v>
      </c>
    </row>
    <row r="13" spans="3:16">
      <c r="C13" s="7" t="s">
        <v>15</v>
      </c>
      <c r="D13" s="20">
        <f>1-D12</f>
        <v>0.88888888888888884</v>
      </c>
      <c r="E13" s="20">
        <f>1-E12</f>
        <v>0.96153846153846156</v>
      </c>
      <c r="F13" s="20">
        <f t="shared" ref="F13:P13" si="1">1-F12</f>
        <v>1</v>
      </c>
      <c r="G13" s="20">
        <f t="shared" si="1"/>
        <v>1</v>
      </c>
      <c r="H13" s="20">
        <f t="shared" si="1"/>
        <v>0.96153846153846156</v>
      </c>
      <c r="I13" s="20">
        <f t="shared" si="1"/>
        <v>1</v>
      </c>
      <c r="J13" s="20">
        <f t="shared" si="1"/>
        <v>1</v>
      </c>
      <c r="K13" s="20">
        <f t="shared" si="1"/>
        <v>1</v>
      </c>
      <c r="L13" s="20">
        <f t="shared" si="1"/>
        <v>0.96</v>
      </c>
      <c r="M13" s="20">
        <f t="shared" si="1"/>
        <v>1</v>
      </c>
      <c r="N13" s="20">
        <f t="shared" si="1"/>
        <v>1</v>
      </c>
      <c r="O13" s="20">
        <f t="shared" si="1"/>
        <v>1</v>
      </c>
      <c r="P13" s="20">
        <f t="shared" si="1"/>
        <v>1</v>
      </c>
    </row>
    <row r="14" spans="3:16">
      <c r="C14" s="7" t="s">
        <v>176</v>
      </c>
      <c r="D14" s="21">
        <f ca="1">AVERAGE(emp_db[Tenure])</f>
        <v>4.0293415819708356</v>
      </c>
      <c r="E14" s="21">
        <f ca="1">AVERAGEIFS(emp_db[Tenure],emp_db[Exit Date],"&lt;="&amp;EOMONTH('Background Data'!E$8,0))</f>
        <v>3.312245745122457</v>
      </c>
      <c r="F14" s="21">
        <f ca="1">AVERAGEIFS(emp_db[Tenure],emp_db[Exit Date],"&lt;="&amp;EOMONTH('Background Data'!F$8,0))</f>
        <v>3.312245745122457</v>
      </c>
      <c r="G14" s="21">
        <f ca="1">AVERAGEIFS(emp_db[Tenure],emp_db[Exit Date],"&lt;="&amp;EOMONTH('Background Data'!G$8,0))</f>
        <v>3.312245745122457</v>
      </c>
      <c r="H14" s="21">
        <f ca="1">AVERAGEIFS(emp_db[Tenure],emp_db[Exit Date],"&lt;="&amp;EOMONTH('Background Data'!H$8,0))</f>
        <v>3.4930701047542301</v>
      </c>
      <c r="I14" s="21">
        <f ca="1">AVERAGEIFS(emp_db[Tenure],emp_db[Exit Date],"&lt;="&amp;EOMONTH('Background Data'!I$8,0))</f>
        <v>3.4930701047542301</v>
      </c>
      <c r="J14" s="21">
        <f ca="1">AVERAGEIFS(emp_db[Tenure],emp_db[Exit Date],"&lt;="&amp;EOMONTH('Background Data'!J$8,0))</f>
        <v>3.4930701047542301</v>
      </c>
      <c r="K14" s="21">
        <f ca="1">AVERAGEIFS(emp_db[Tenure],emp_db[Exit Date],"&lt;="&amp;EOMONTH('Background Data'!K$8,0))</f>
        <v>3.4930701047542301</v>
      </c>
      <c r="L14" s="21">
        <f ca="1">AVERAGEIFS(emp_db[Tenure],emp_db[Exit Date],"&lt;="&amp;EOMONTH('Background Data'!L$8,0))</f>
        <v>3.5572602739726027</v>
      </c>
      <c r="M14" s="21">
        <f ca="1">AVERAGEIFS(emp_db[Tenure],emp_db[Exit Date],"&lt;="&amp;EOMONTH('Background Data'!M$8,0))</f>
        <v>3.5572602739726027</v>
      </c>
      <c r="N14" s="21">
        <f ca="1">AVERAGEIFS(emp_db[Tenure],emp_db[Exit Date],"&lt;="&amp;EOMONTH('Background Data'!N$8,0))</f>
        <v>3.5572602739726027</v>
      </c>
      <c r="O14" s="21">
        <f ca="1">AVERAGEIFS(emp_db[Tenure],emp_db[Exit Date],"&lt;="&amp;EOMONTH('Background Data'!O$8,0))</f>
        <v>3.5572602739726027</v>
      </c>
      <c r="P14" s="21">
        <f ca="1">AVERAGEIFS(emp_db[Tenure],emp_db[Exit Date],"&lt;="&amp;EOMONTH('Background Data'!P$8,0))</f>
        <v>3.5572602739726027</v>
      </c>
    </row>
    <row r="15" spans="3:16">
      <c r="C15" s="7" t="s">
        <v>177</v>
      </c>
      <c r="D15" s="21">
        <f ca="1">AVERAGEIFS(emp_db[Tenure],emp_db[Exit Date],"&gt;"&amp;0)</f>
        <v>3.5572602739726027</v>
      </c>
      <c r="E15" s="21">
        <f ca="1">AVERAGEIFS(emp_db[Tenure],emp_db[Exit Date],"&gt;="&amp;'Background Data'!E8,emp_db[Exit Date],"&lt;="&amp;EOMONTH('Background Data'!E8,0))</f>
        <v>0.6</v>
      </c>
      <c r="F15" s="21" t="e">
        <f>AVERAGEIFS(emp_db[Tenure],emp_db[Exit Date],"&gt;="&amp;'Background Data'!F8,emp_db[Exit Date],"&lt;="&amp;EOMONTH('Background Data'!F8,0))</f>
        <v>#DIV/0!</v>
      </c>
      <c r="G15" s="21" t="e">
        <f>AVERAGEIFS(emp_db[Tenure],emp_db[Exit Date],"&gt;="&amp;'Background Data'!G8,emp_db[Exit Date],"&lt;="&amp;EOMONTH('Background Data'!G8,0))</f>
        <v>#DIV/0!</v>
      </c>
      <c r="H15" s="21">
        <f ca="1">AVERAGEIFS(emp_db[Tenure],emp_db[Exit Date],"&gt;="&amp;'Background Data'!H8,emp_db[Exit Date],"&lt;="&amp;EOMONTH('Background Data'!H8,0))</f>
        <v>9.4602739726027405</v>
      </c>
      <c r="I15" s="21" t="e">
        <f>AVERAGEIFS(emp_db[Tenure],emp_db[Exit Date],"&gt;="&amp;'Background Data'!I8,emp_db[Exit Date],"&lt;="&amp;EOMONTH('Background Data'!I8,0))</f>
        <v>#DIV/0!</v>
      </c>
      <c r="J15" s="21" t="e">
        <f>AVERAGEIFS(emp_db[Tenure],emp_db[Exit Date],"&gt;="&amp;'Background Data'!J8,emp_db[Exit Date],"&lt;="&amp;EOMONTH('Background Data'!J8,0))</f>
        <v>#DIV/0!</v>
      </c>
      <c r="K15" s="21" t="e">
        <f>AVERAGEIFS(emp_db[Tenure],emp_db[Exit Date],"&gt;="&amp;'Background Data'!K8,emp_db[Exit Date],"&lt;="&amp;EOMONTH('Background Data'!K8,0))</f>
        <v>#DIV/0!</v>
      </c>
      <c r="L15" s="21">
        <f ca="1">AVERAGEIFS(emp_db[Tenure],emp_db[Exit Date],"&gt;="&amp;'Background Data'!L8,emp_db[Exit Date],"&lt;="&amp;EOMONTH('Background Data'!L8,0))</f>
        <v>5.7397260273972606</v>
      </c>
      <c r="M15" s="21" t="e">
        <f>AVERAGEIFS(emp_db[Tenure],emp_db[Exit Date],"&gt;="&amp;'Background Data'!M8,emp_db[Exit Date],"&lt;="&amp;EOMONTH('Background Data'!M8,0))</f>
        <v>#DIV/0!</v>
      </c>
      <c r="N15" s="21" t="e">
        <f>AVERAGEIFS(emp_db[Tenure],emp_db[Exit Date],"&gt;="&amp;'Background Data'!N8,emp_db[Exit Date],"&lt;="&amp;EOMONTH('Background Data'!N8,0))</f>
        <v>#DIV/0!</v>
      </c>
      <c r="O15" s="21" t="e">
        <f>AVERAGEIFS(emp_db[Tenure],emp_db[Exit Date],"&gt;="&amp;'Background Data'!O8,emp_db[Exit Date],"&lt;="&amp;EOMONTH('Background Data'!O8,0))</f>
        <v>#DIV/0!</v>
      </c>
      <c r="P15" s="21" t="e">
        <f>AVERAGEIFS(emp_db[Tenure],emp_db[Exit Date],"&gt;="&amp;'Background Data'!P8,emp_db[Exit Date],"&lt;="&amp;EOMONTH('Background Data'!P8,0))</f>
        <v>#DIV/0!</v>
      </c>
    </row>
    <row r="16" spans="3:16">
      <c r="C16" s="7" t="s">
        <v>178</v>
      </c>
      <c r="D16" s="21">
        <f ca="1">AVERAGE(emp_db[Age])</f>
        <v>33.229385771100311</v>
      </c>
      <c r="E16" s="21">
        <f ca="1">AVERAGEIFS(emp_db[Age],emp_db[Exit Date],"&lt;="&amp;EOMONTH('Background Data'!E8,0))</f>
        <v>32.918804483188048</v>
      </c>
      <c r="F16" s="21">
        <f ca="1">AVERAGEIFS(emp_db[Age],emp_db[Exit Date],"&lt;="&amp;EOMONTH('Background Data'!F8,0))</f>
        <v>32.918804483188048</v>
      </c>
      <c r="G16" s="21">
        <f ca="1">AVERAGEIFS(emp_db[Age],emp_db[Exit Date],"&lt;="&amp;EOMONTH('Background Data'!G8,0))</f>
        <v>32.918804483188048</v>
      </c>
      <c r="H16" s="21">
        <f ca="1">AVERAGEIFS(emp_db[Age],emp_db[Exit Date],"&lt;="&amp;EOMONTH('Background Data'!H8,0))</f>
        <v>33.007735697018532</v>
      </c>
      <c r="I16" s="21">
        <f ca="1">AVERAGEIFS(emp_db[Age],emp_db[Exit Date],"&lt;="&amp;EOMONTH('Background Data'!I8,0))</f>
        <v>33.007735697018532</v>
      </c>
      <c r="J16" s="21">
        <f ca="1">AVERAGEIFS(emp_db[Age],emp_db[Exit Date],"&lt;="&amp;EOMONTH('Background Data'!J8,0))</f>
        <v>33.007735697018532</v>
      </c>
      <c r="K16" s="21">
        <f ca="1">AVERAGEIFS(emp_db[Age],emp_db[Exit Date],"&lt;="&amp;EOMONTH('Background Data'!K8,0))</f>
        <v>33.007735697018532</v>
      </c>
      <c r="L16" s="21">
        <f ca="1">AVERAGEIFS(emp_db[Age],emp_db[Exit Date],"&lt;="&amp;EOMONTH('Background Data'!L8,0))</f>
        <v>33.038825831702546</v>
      </c>
      <c r="M16" s="21">
        <f ca="1">AVERAGEIFS(emp_db[Age],emp_db[Exit Date],"&lt;="&amp;EOMONTH('Background Data'!M8,0))</f>
        <v>33.038825831702546</v>
      </c>
      <c r="N16" s="21">
        <f ca="1">AVERAGEIFS(emp_db[Age],emp_db[Exit Date],"&lt;="&amp;EOMONTH('Background Data'!N8,0))</f>
        <v>33.038825831702546</v>
      </c>
      <c r="O16" s="21">
        <f ca="1">AVERAGEIFS(emp_db[Age],emp_db[Exit Date],"&lt;="&amp;EOMONTH('Background Data'!O8,0))</f>
        <v>33.038825831702546</v>
      </c>
      <c r="P16" s="21">
        <f ca="1">AVERAGEIFS(emp_db[Age],emp_db[Exit Date],"&lt;="&amp;EOMONTH('Background Data'!P8,0))</f>
        <v>33.038825831702546</v>
      </c>
    </row>
    <row r="17" spans="3:16">
      <c r="C17" s="7" t="s">
        <v>179</v>
      </c>
      <c r="D17" s="20">
        <v>0.04</v>
      </c>
      <c r="E17" s="19">
        <v>0.05</v>
      </c>
      <c r="F17" s="19">
        <v>0.04</v>
      </c>
      <c r="G17" s="19">
        <v>0.05</v>
      </c>
      <c r="H17" s="19">
        <v>0.03</v>
      </c>
      <c r="I17" s="19">
        <v>0.04</v>
      </c>
      <c r="J17" s="19">
        <v>0.02</v>
      </c>
      <c r="K17" s="19">
        <v>0.06</v>
      </c>
      <c r="L17" s="19">
        <v>0.06</v>
      </c>
      <c r="M17" s="19">
        <v>0.04</v>
      </c>
      <c r="N17" s="19">
        <v>0.03</v>
      </c>
      <c r="O17" s="19">
        <v>0.02</v>
      </c>
      <c r="P17" s="19">
        <v>7.0000000000000007E-2</v>
      </c>
    </row>
    <row r="20" spans="3:16">
      <c r="E20" s="15">
        <f>DATE('Monthly Dashboard'!$M$3,E7,1)</f>
        <v>43101</v>
      </c>
      <c r="F20" s="15">
        <f>DATE('Monthly Dashboard'!$M$3,F7,1)</f>
        <v>43132</v>
      </c>
      <c r="G20" s="15">
        <f>DATE('Monthly Dashboard'!$M$3,G7,1)</f>
        <v>43160</v>
      </c>
      <c r="H20" s="15">
        <f>DATE('Monthly Dashboard'!$M$3,H7,1)</f>
        <v>43191</v>
      </c>
      <c r="I20" s="15">
        <f>DATE('Monthly Dashboard'!$M$3,I7,1)</f>
        <v>43221</v>
      </c>
      <c r="J20" s="15">
        <f>DATE('Monthly Dashboard'!$M$3,J7,1)</f>
        <v>43252</v>
      </c>
      <c r="K20" s="15">
        <f>DATE('Monthly Dashboard'!$M$3,K7,1)</f>
        <v>43282</v>
      </c>
      <c r="L20" s="15">
        <f>DATE('Monthly Dashboard'!$M$3,L7,1)</f>
        <v>43313</v>
      </c>
      <c r="M20" s="15">
        <f>DATE('Monthly Dashboard'!$M$3,M7,1)</f>
        <v>43344</v>
      </c>
      <c r="N20" s="15">
        <f>DATE('Monthly Dashboard'!$M$3,N7,1)</f>
        <v>43374</v>
      </c>
      <c r="O20" s="15">
        <f>DATE('Monthly Dashboard'!$M$3,O7,1)</f>
        <v>43405</v>
      </c>
      <c r="P20" s="15">
        <f>DATE('Monthly Dashboard'!$M$3,P7,1)</f>
        <v>43435</v>
      </c>
    </row>
    <row r="21" spans="3:16">
      <c r="C21" s="7" t="s">
        <v>173</v>
      </c>
      <c r="E21" s="5">
        <f>COUNTIFS(emp_db[Column1],"&lt;="&amp;EOMONTH('Background Data'!E20,0))-COUNTIFS(emp_db[Exit Date],"&lt;="&amp;EOMONTH('Background Data'!E20,0))</f>
        <v>36</v>
      </c>
      <c r="F21" s="5">
        <f>COUNTIFS(emp_db[Column1],"&lt;="&amp;EOMONTH('Background Data'!F20,0))-COUNTIFS(emp_db[Exit Date],"&lt;="&amp;EOMONTH('Background Data'!F20,0))</f>
        <v>35</v>
      </c>
      <c r="G21" s="5">
        <f>COUNTIFS(emp_db[Column1],"&lt;="&amp;EOMONTH('Background Data'!G20,0))-COUNTIFS(emp_db[Exit Date],"&lt;="&amp;EOMONTH('Background Data'!G20,0))</f>
        <v>33</v>
      </c>
      <c r="H21" s="5">
        <f>COUNTIFS(emp_db[Column1],"&lt;="&amp;EOMONTH('Background Data'!H20,0))-COUNTIFS(emp_db[Exit Date],"&lt;="&amp;EOMONTH('Background Data'!H20,0))</f>
        <v>30</v>
      </c>
      <c r="I21" s="5">
        <f>COUNTIFS(emp_db[Column1],"&lt;="&amp;EOMONTH('Background Data'!I20,0))-COUNTIFS(emp_db[Exit Date],"&lt;="&amp;EOMONTH('Background Data'!I20,0))</f>
        <v>29</v>
      </c>
      <c r="J21" s="5">
        <f>COUNTIFS(emp_db[Column1],"&lt;="&amp;EOMONTH('Background Data'!J20,0))-COUNTIFS(emp_db[Exit Date],"&lt;="&amp;EOMONTH('Background Data'!J20,0))</f>
        <v>31</v>
      </c>
      <c r="K21" s="5">
        <f>COUNTIFS(emp_db[Column1],"&lt;="&amp;EOMONTH('Background Data'!K20,0))-COUNTIFS(emp_db[Exit Date],"&lt;="&amp;EOMONTH('Background Data'!K20,0))</f>
        <v>29</v>
      </c>
      <c r="L21" s="5">
        <f>COUNTIFS(emp_db[Column1],"&lt;="&amp;EOMONTH('Background Data'!L20,0))-COUNTIFS(emp_db[Exit Date],"&lt;="&amp;EOMONTH('Background Data'!L20,0))</f>
        <v>29</v>
      </c>
      <c r="M21" s="5">
        <f>COUNTIFS(emp_db[Column1],"&lt;="&amp;EOMONTH('Background Data'!M20,0))-COUNTIFS(emp_db[Exit Date],"&lt;="&amp;EOMONTH('Background Data'!M20,0))</f>
        <v>28</v>
      </c>
      <c r="N21" s="5">
        <f>COUNTIFS(emp_db[Column1],"&lt;="&amp;EOMONTH('Background Data'!N20,0))-COUNTIFS(emp_db[Exit Date],"&lt;="&amp;EOMONTH('Background Data'!N20,0))</f>
        <v>27</v>
      </c>
      <c r="O21" s="5">
        <f>COUNTIFS(emp_db[Column1],"&lt;="&amp;EOMONTH('Background Data'!O20,0))-COUNTIFS(emp_db[Exit Date],"&lt;="&amp;EOMONTH('Background Data'!O20,0))</f>
        <v>27</v>
      </c>
      <c r="P21" s="5">
        <f>COUNTIFS(emp_db[Column1],"&lt;="&amp;EOMONTH('Background Data'!P20,0))-COUNTIFS(emp_db[Exit Date],"&lt;="&amp;EOMONTH('Background Data'!P20,0))</f>
        <v>27</v>
      </c>
    </row>
    <row r="22" spans="3:16">
      <c r="C22" s="7" t="s">
        <v>174</v>
      </c>
      <c r="E22" s="5">
        <f>COUNTIFS(emp_db[Column1],"&gt;="&amp;'Background Data'!E20,emp_db[Column1],"&lt;="&amp;EOMONTH('Background Data'!E20,0))</f>
        <v>0</v>
      </c>
      <c r="F22" s="5">
        <f>COUNTIFS(emp_db[Column1],"&gt;="&amp;'Background Data'!F20,emp_db[Column1],"&lt;="&amp;EOMONTH('Background Data'!F20,0))</f>
        <v>0</v>
      </c>
      <c r="G22" s="5">
        <f>COUNTIFS(emp_db[Column1],"&gt;="&amp;'Background Data'!G20,emp_db[Column1],"&lt;="&amp;EOMONTH('Background Data'!G20,0))</f>
        <v>0</v>
      </c>
      <c r="H22" s="5">
        <f>COUNTIFS(emp_db[Column1],"&gt;="&amp;'Background Data'!H20,emp_db[Column1],"&lt;="&amp;EOMONTH('Background Data'!H20,0))</f>
        <v>0</v>
      </c>
      <c r="I22" s="5">
        <f>COUNTIFS(emp_db[Column1],"&gt;="&amp;'Background Data'!I20,emp_db[Column1],"&lt;="&amp;EOMONTH('Background Data'!I20,0))</f>
        <v>0</v>
      </c>
      <c r="J22" s="5">
        <f>COUNTIFS(emp_db[Column1],"&gt;="&amp;'Background Data'!J20,emp_db[Column1],"&lt;="&amp;EOMONTH('Background Data'!J20,0))</f>
        <v>2</v>
      </c>
      <c r="K22" s="5">
        <f>COUNTIFS(emp_db[Column1],"&gt;="&amp;'Background Data'!K20,emp_db[Column1],"&lt;="&amp;EOMONTH('Background Data'!K20,0))</f>
        <v>0</v>
      </c>
      <c r="L22" s="5">
        <f>COUNTIFS(emp_db[Column1],"&gt;="&amp;'Background Data'!L20,emp_db[Column1],"&lt;="&amp;EOMONTH('Background Data'!L20,0))</f>
        <v>0</v>
      </c>
      <c r="M22" s="5">
        <f>COUNTIFS(emp_db[Column1],"&gt;="&amp;'Background Data'!M20,emp_db[Column1],"&lt;="&amp;EOMONTH('Background Data'!M20,0))</f>
        <v>0</v>
      </c>
      <c r="N22" s="5">
        <f>COUNTIFS(emp_db[Column1],"&gt;="&amp;'Background Data'!N20,emp_db[Column1],"&lt;="&amp;EOMONTH('Background Data'!N20,0))</f>
        <v>0</v>
      </c>
      <c r="O22" s="5">
        <f>COUNTIFS(emp_db[Column1],"&gt;="&amp;'Background Data'!O20,emp_db[Column1],"&lt;="&amp;EOMONTH('Background Data'!O20,0))</f>
        <v>1</v>
      </c>
      <c r="P22" s="5">
        <f>COUNTIFS(emp_db[Column1],"&gt;="&amp;'Background Data'!P20,emp_db[Column1],"&lt;="&amp;EOMONTH('Background Data'!P20,0))</f>
        <v>0</v>
      </c>
    </row>
    <row r="23" spans="3:16">
      <c r="C23" s="7" t="s">
        <v>175</v>
      </c>
      <c r="E23" s="5">
        <f>COUNTIFS(emp_db[Exit Date],"&gt;="&amp;'Background Data'!E20,emp_db[Exit Date],"&lt;="&amp;EOMONTH('Background Data'!E20,0))</f>
        <v>1</v>
      </c>
      <c r="F23" s="5">
        <f>COUNTIFS(emp_db[Exit Date],"&gt;="&amp;'Background Data'!F20,emp_db[Exit Date],"&lt;="&amp;EOMONTH('Background Data'!F20,0))</f>
        <v>1</v>
      </c>
      <c r="G23" s="5">
        <f>COUNTIFS(emp_db[Exit Date],"&gt;="&amp;'Background Data'!G20,emp_db[Exit Date],"&lt;="&amp;EOMONTH('Background Data'!G20,0))</f>
        <v>2</v>
      </c>
      <c r="H23" s="5">
        <f>COUNTIFS(emp_db[Exit Date],"&gt;="&amp;'Background Data'!H20,emp_db[Exit Date],"&lt;="&amp;EOMONTH('Background Data'!H20,0))</f>
        <v>3</v>
      </c>
      <c r="I23" s="5">
        <f>COUNTIFS(emp_db[Exit Date],"&gt;="&amp;'Background Data'!I20,emp_db[Exit Date],"&lt;="&amp;EOMONTH('Background Data'!I20,0))</f>
        <v>1</v>
      </c>
      <c r="J23" s="5">
        <f>COUNTIFS(emp_db[Exit Date],"&gt;="&amp;'Background Data'!J20,emp_db[Exit Date],"&lt;="&amp;EOMONTH('Background Data'!J20,0))</f>
        <v>0</v>
      </c>
      <c r="K23" s="5">
        <f>COUNTIFS(emp_db[Exit Date],"&gt;="&amp;'Background Data'!K20,emp_db[Exit Date],"&lt;="&amp;EOMONTH('Background Data'!K20,0))</f>
        <v>2</v>
      </c>
      <c r="L23" s="5">
        <f>COUNTIFS(emp_db[Exit Date],"&gt;="&amp;'Background Data'!L20,emp_db[Exit Date],"&lt;="&amp;EOMONTH('Background Data'!L20,0))</f>
        <v>0</v>
      </c>
      <c r="M23" s="5">
        <f>COUNTIFS(emp_db[Exit Date],"&gt;="&amp;'Background Data'!M20,emp_db[Exit Date],"&lt;="&amp;EOMONTH('Background Data'!M20,0))</f>
        <v>1</v>
      </c>
      <c r="N23" s="5">
        <f>COUNTIFS(emp_db[Exit Date],"&gt;="&amp;'Background Data'!N20,emp_db[Exit Date],"&lt;="&amp;EOMONTH('Background Data'!N20,0))</f>
        <v>1</v>
      </c>
      <c r="O23" s="5">
        <f>COUNTIFS(emp_db[Exit Date],"&gt;="&amp;'Background Data'!O20,emp_db[Exit Date],"&lt;="&amp;EOMONTH('Background Data'!O20,0))</f>
        <v>1</v>
      </c>
      <c r="P23" s="5">
        <f>COUNTIFS(emp_db[Exit Date],"&gt;="&amp;'Background Data'!P20,emp_db[Exit Date],"&lt;="&amp;EOMONTH('Background Data'!P20,0))</f>
        <v>0</v>
      </c>
    </row>
    <row r="24" spans="3:16">
      <c r="C24" s="7" t="s">
        <v>14</v>
      </c>
      <c r="E24" s="19">
        <f>E23/E21</f>
        <v>2.7777777777777776E-2</v>
      </c>
      <c r="F24" s="19">
        <f t="shared" ref="F24" si="2">F23/F21</f>
        <v>2.8571428571428571E-2</v>
      </c>
      <c r="G24" s="19">
        <f t="shared" ref="G24" si="3">G23/G21</f>
        <v>6.0606060606060608E-2</v>
      </c>
      <c r="H24" s="19">
        <f t="shared" ref="H24" si="4">H23/H21</f>
        <v>0.1</v>
      </c>
      <c r="I24" s="19">
        <f t="shared" ref="I24" si="5">I23/I21</f>
        <v>3.4482758620689655E-2</v>
      </c>
      <c r="J24" s="19">
        <f t="shared" ref="J24" si="6">J23/J21</f>
        <v>0</v>
      </c>
      <c r="K24" s="19">
        <f t="shared" ref="K24" si="7">K23/K21</f>
        <v>6.8965517241379309E-2</v>
      </c>
      <c r="L24" s="19">
        <f t="shared" ref="L24" si="8">L23/L21</f>
        <v>0</v>
      </c>
      <c r="M24" s="19">
        <f t="shared" ref="M24" si="9">M23/M21</f>
        <v>3.5714285714285712E-2</v>
      </c>
      <c r="N24" s="19">
        <f t="shared" ref="N24" si="10">N23/N21</f>
        <v>3.7037037037037035E-2</v>
      </c>
      <c r="O24" s="19">
        <f t="shared" ref="O24" si="11">O23/O21</f>
        <v>3.7037037037037035E-2</v>
      </c>
      <c r="P24" s="19">
        <f t="shared" ref="P24" si="12">P23/P21</f>
        <v>0</v>
      </c>
    </row>
    <row r="25" spans="3:16">
      <c r="C25" s="7" t="s">
        <v>15</v>
      </c>
      <c r="E25" s="20">
        <f>1-E24</f>
        <v>0.97222222222222221</v>
      </c>
      <c r="F25" s="20">
        <f t="shared" ref="F25" si="13">1-F24</f>
        <v>0.97142857142857142</v>
      </c>
      <c r="G25" s="20">
        <f t="shared" ref="G25" si="14">1-G24</f>
        <v>0.93939393939393945</v>
      </c>
      <c r="H25" s="20">
        <f t="shared" ref="H25" si="15">1-H24</f>
        <v>0.9</v>
      </c>
      <c r="I25" s="20">
        <f t="shared" ref="I25" si="16">1-I24</f>
        <v>0.96551724137931039</v>
      </c>
      <c r="J25" s="20">
        <f t="shared" ref="J25" si="17">1-J24</f>
        <v>1</v>
      </c>
      <c r="K25" s="20">
        <f t="shared" ref="K25" si="18">1-K24</f>
        <v>0.93103448275862066</v>
      </c>
      <c r="L25" s="20">
        <f t="shared" ref="L25" si="19">1-L24</f>
        <v>1</v>
      </c>
      <c r="M25" s="20">
        <f t="shared" ref="M25" si="20">1-M24</f>
        <v>0.9642857142857143</v>
      </c>
      <c r="N25" s="20">
        <f t="shared" ref="N25" si="21">1-N24</f>
        <v>0.96296296296296302</v>
      </c>
      <c r="O25" s="20">
        <f t="shared" ref="O25" si="22">1-O24</f>
        <v>0.96296296296296302</v>
      </c>
      <c r="P25" s="20">
        <f t="shared" ref="P25" si="23">1-P24</f>
        <v>1</v>
      </c>
    </row>
    <row r="26" spans="3:16">
      <c r="C26" s="7" t="s">
        <v>176</v>
      </c>
      <c r="E26" s="21">
        <f ca="1">AVERAGEIFS(emp_db[Tenure],emp_db[Exit Date],"&lt;="&amp;EOMONTH('Background Data'!E20,0))</f>
        <v>3.5657534246575344</v>
      </c>
      <c r="F26" s="21">
        <f ca="1">AVERAGEIFS(emp_db[Tenure],emp_db[Exit Date],"&lt;="&amp;EOMONTH('Background Data'!F20,0))</f>
        <v>3.4040443574690151</v>
      </c>
      <c r="G26" s="21">
        <f ca="1">AVERAGEIFS(emp_db[Tenure],emp_db[Exit Date],"&lt;="&amp;EOMONTH('Background Data'!G20,0))</f>
        <v>3.461107802263252</v>
      </c>
      <c r="H26" s="21">
        <f ca="1">AVERAGEIFS(emp_db[Tenure],emp_db[Exit Date],"&lt;="&amp;EOMONTH('Background Data'!H20,0))</f>
        <v>3.5413066385669127</v>
      </c>
      <c r="I26" s="21">
        <f ca="1">AVERAGEIFS(emp_db[Tenure],emp_db[Exit Date],"&lt;="&amp;EOMONTH('Background Data'!I20,0))</f>
        <v>3.5549467275494666</v>
      </c>
      <c r="J26" s="21">
        <f ca="1">AVERAGEIFS(emp_db[Tenure],emp_db[Exit Date],"&lt;="&amp;EOMONTH('Background Data'!J20,0))</f>
        <v>3.5549467275494666</v>
      </c>
      <c r="K26" s="21">
        <f ca="1">AVERAGEIFS(emp_db[Tenure],emp_db[Exit Date],"&lt;="&amp;EOMONTH('Background Data'!K20,0))</f>
        <v>3.5611714690599907</v>
      </c>
      <c r="L26" s="21">
        <f ca="1">AVERAGEIFS(emp_db[Tenure],emp_db[Exit Date],"&lt;="&amp;EOMONTH('Background Data'!L20,0))</f>
        <v>3.5611714690599907</v>
      </c>
      <c r="M26" s="21">
        <f ca="1">AVERAGEIFS(emp_db[Tenure],emp_db[Exit Date],"&lt;="&amp;EOMONTH('Background Data'!M20,0))</f>
        <v>3.5790867579908676</v>
      </c>
      <c r="N26" s="21">
        <f ca="1">AVERAGEIFS(emp_db[Tenure],emp_db[Exit Date],"&lt;="&amp;EOMONTH('Background Data'!N20,0))</f>
        <v>3.4720282810428635</v>
      </c>
      <c r="O26" s="21">
        <f ca="1">AVERAGEIFS(emp_db[Tenure],emp_db[Exit Date],"&lt;="&amp;EOMONTH('Background Data'!O20,0))</f>
        <v>3.3970034246575338</v>
      </c>
      <c r="P26" s="21">
        <f ca="1">AVERAGEIFS(emp_db[Tenure],emp_db[Exit Date],"&lt;="&amp;EOMONTH('Background Data'!P20,0))</f>
        <v>3.3970034246575338</v>
      </c>
    </row>
    <row r="27" spans="3:16">
      <c r="C27" s="7" t="s">
        <v>177</v>
      </c>
      <c r="E27" s="21">
        <f ca="1">AVERAGEIFS(emp_db[Tenure],emp_db[Exit Date],"&gt;="&amp;'Background Data'!E20,emp_db[Exit Date],"&lt;="&amp;EOMONTH('Background Data'!E20,0))</f>
        <v>3.4904109589041097</v>
      </c>
      <c r="F27" s="21">
        <f ca="1">AVERAGEIFS(emp_db[Tenure],emp_db[Exit Date],"&gt;="&amp;'Background Data'!F20,emp_db[Exit Date],"&lt;="&amp;EOMONTH('Background Data'!F20,0))</f>
        <v>0.16986301369863013</v>
      </c>
      <c r="G27" s="21">
        <f ca="1">AVERAGEIFS(emp_db[Tenure],emp_db[Exit Date],"&gt;="&amp;'Background Data'!G20,emp_db[Exit Date],"&lt;="&amp;EOMONTH('Background Data'!G20,0))</f>
        <v>4.0602739726027393</v>
      </c>
      <c r="H27" s="21">
        <f ca="1">AVERAGEIFS(emp_db[Tenure],emp_db[Exit Date],"&gt;="&amp;'Background Data'!H20,emp_db[Exit Date],"&lt;="&amp;EOMONTH('Background Data'!H20,0))</f>
        <v>4.1561643835616442</v>
      </c>
      <c r="I27" s="21">
        <f ca="1">AVERAGEIFS(emp_db[Tenure],emp_db[Exit Date],"&gt;="&amp;'Background Data'!I20,emp_db[Exit Date],"&lt;="&amp;EOMONTH('Background Data'!I20,0))</f>
        <v>3.9095890410958902</v>
      </c>
      <c r="J27" s="21" t="e">
        <f>AVERAGEIFS(emp_db[Tenure],emp_db[Exit Date],"&gt;="&amp;'Background Data'!J20,emp_db[Exit Date],"&lt;="&amp;EOMONTH('Background Data'!J20,0))</f>
        <v>#DIV/0!</v>
      </c>
      <c r="K27" s="21">
        <f ca="1">AVERAGEIFS(emp_db[Tenure],emp_db[Exit Date],"&gt;="&amp;'Background Data'!K20,emp_db[Exit Date],"&lt;="&amp;EOMONTH('Background Data'!K20,0))</f>
        <v>3.6452054794520548</v>
      </c>
      <c r="L27" s="21" t="e">
        <f>AVERAGEIFS(emp_db[Tenure],emp_db[Exit Date],"&gt;="&amp;'Background Data'!L20,emp_db[Exit Date],"&lt;="&amp;EOMONTH('Background Data'!L20,0))</f>
        <v>#DIV/0!</v>
      </c>
      <c r="M27" s="21">
        <f ca="1">AVERAGEIFS(emp_db[Tenure],emp_db[Exit Date],"&gt;="&amp;'Background Data'!M20,emp_db[Exit Date],"&lt;="&amp;EOMONTH('Background Data'!M20,0))</f>
        <v>4.0986301369863014</v>
      </c>
      <c r="N27" s="21">
        <f ca="1">AVERAGEIFS(emp_db[Tenure],emp_db[Exit Date],"&gt;="&amp;'Background Data'!N20,emp_db[Exit Date],"&lt;="&amp;EOMONTH('Background Data'!N20,0))</f>
        <v>0.26027397260273971</v>
      </c>
      <c r="O27" s="21">
        <f ca="1">AVERAGEIFS(emp_db[Tenure],emp_db[Exit Date],"&gt;="&amp;'Background Data'!O20,emp_db[Exit Date],"&lt;="&amp;EOMONTH('Background Data'!O20,0))</f>
        <v>1.0712328767123287</v>
      </c>
      <c r="P27" s="21" t="e">
        <f>AVERAGEIFS(emp_db[Tenure],emp_db[Exit Date],"&gt;="&amp;'Background Data'!P20,emp_db[Exit Date],"&lt;="&amp;EOMONTH('Background Data'!P20,0))</f>
        <v>#DIV/0!</v>
      </c>
    </row>
    <row r="28" spans="3:16">
      <c r="C28" s="7" t="s">
        <v>178</v>
      </c>
      <c r="E28" s="21">
        <f ca="1">AVERAGEIFS(emp_db[Age],emp_db[Exit Date],"&lt;="&amp;EOMONTH('Background Data'!E20,0))</f>
        <v>32.071780821917812</v>
      </c>
      <c r="F28" s="21">
        <f ca="1">AVERAGEIFS(emp_db[Age],emp_db[Exit Date],"&lt;="&amp;EOMONTH('Background Data'!F20,0))</f>
        <v>32.095238095238102</v>
      </c>
      <c r="G28" s="21">
        <f ca="1">AVERAGEIFS(emp_db[Age],emp_db[Exit Date],"&lt;="&amp;EOMONTH('Background Data'!G20,0))</f>
        <v>32.200000000000003</v>
      </c>
      <c r="H28" s="21">
        <f ca="1">AVERAGEIFS(emp_db[Age],emp_db[Exit Date],"&lt;="&amp;EOMONTH('Background Data'!H20,0))</f>
        <v>32.16143308746048</v>
      </c>
      <c r="I28" s="21">
        <f ca="1">AVERAGEIFS(emp_db[Age],emp_db[Exit Date],"&lt;="&amp;EOMONTH('Background Data'!I20,0))</f>
        <v>32.583764586504309</v>
      </c>
      <c r="J28" s="21">
        <f ca="1">AVERAGEIFS(emp_db[Age],emp_db[Exit Date],"&lt;="&amp;EOMONTH('Background Data'!J20,0))</f>
        <v>32.583764586504309</v>
      </c>
      <c r="K28" s="21">
        <f ca="1">AVERAGEIFS(emp_db[Age],emp_db[Exit Date],"&lt;="&amp;EOMONTH('Background Data'!K20,0))</f>
        <v>33.000188946622579</v>
      </c>
      <c r="L28" s="21">
        <f ca="1">AVERAGEIFS(emp_db[Age],emp_db[Exit Date],"&lt;="&amp;EOMONTH('Background Data'!L20,0))</f>
        <v>33.000188946622579</v>
      </c>
      <c r="M28" s="21">
        <f ca="1">AVERAGEIFS(emp_db[Age],emp_db[Exit Date],"&lt;="&amp;EOMONTH('Background Data'!M20,0))</f>
        <v>33.356529680365291</v>
      </c>
      <c r="N28" s="21">
        <f ca="1">AVERAGEIFS(emp_db[Age],emp_db[Exit Date],"&lt;="&amp;EOMONTH('Background Data'!N20,0))</f>
        <v>33.047282368537338</v>
      </c>
      <c r="O28" s="21">
        <f ca="1">AVERAGEIFS(emp_db[Age],emp_db[Exit Date],"&lt;="&amp;EOMONTH('Background Data'!O20,0))</f>
        <v>32.825085616438358</v>
      </c>
      <c r="P28" s="21">
        <f ca="1">AVERAGEIFS(emp_db[Age],emp_db[Exit Date],"&lt;="&amp;EOMONTH('Background Data'!P20,0))</f>
        <v>32.825085616438358</v>
      </c>
    </row>
    <row r="29" spans="3:16">
      <c r="C29" s="7" t="s">
        <v>179</v>
      </c>
      <c r="E29" s="19">
        <v>0.04</v>
      </c>
      <c r="F29" s="19">
        <v>0.04</v>
      </c>
      <c r="G29" s="19">
        <v>0.03</v>
      </c>
      <c r="H29" s="19">
        <v>0.02</v>
      </c>
      <c r="I29" s="19">
        <v>0.02</v>
      </c>
      <c r="J29" s="19">
        <v>0.02</v>
      </c>
      <c r="K29" s="19">
        <v>0.02</v>
      </c>
      <c r="L29" s="19">
        <v>0.04</v>
      </c>
      <c r="M29" s="19">
        <v>0.05</v>
      </c>
      <c r="N29" s="19">
        <v>0.06</v>
      </c>
      <c r="O29" s="19">
        <v>0.03</v>
      </c>
      <c r="P29" s="19">
        <v>0.05</v>
      </c>
    </row>
    <row r="32" spans="3:16">
      <c r="E32" s="16" t="s">
        <v>187</v>
      </c>
      <c r="F32" s="16" t="s">
        <v>188</v>
      </c>
      <c r="G32" s="16" t="s">
        <v>189</v>
      </c>
      <c r="H32" s="16" t="s">
        <v>190</v>
      </c>
      <c r="I32" s="16" t="s">
        <v>191</v>
      </c>
      <c r="J32" s="16" t="s">
        <v>192</v>
      </c>
      <c r="K32" s="16" t="s">
        <v>193</v>
      </c>
      <c r="L32" s="16" t="s">
        <v>194</v>
      </c>
      <c r="M32" s="16" t="s">
        <v>195</v>
      </c>
      <c r="N32" s="16" t="s">
        <v>196</v>
      </c>
      <c r="O32" s="16" t="s">
        <v>197</v>
      </c>
      <c r="P32" s="16" t="s">
        <v>198</v>
      </c>
    </row>
    <row r="33" spans="3:16">
      <c r="C33" s="5" t="str">
        <f>'Monthly Dashboard'!B5</f>
        <v>Active Employees</v>
      </c>
      <c r="E33" s="45">
        <f>INDEX(E$9:E$17,MATCH($C33,$C$9:$C$17,0))</f>
        <v>26</v>
      </c>
      <c r="F33" s="45">
        <f t="shared" ref="F33:P33" si="24">INDEX(F$9:F$17,MATCH($C33,$C$9:$C$17,0))</f>
        <v>27</v>
      </c>
      <c r="G33" s="45">
        <f t="shared" si="24"/>
        <v>27</v>
      </c>
      <c r="H33" s="45">
        <f t="shared" si="24"/>
        <v>26</v>
      </c>
      <c r="I33" s="45">
        <f t="shared" si="24"/>
        <v>26</v>
      </c>
      <c r="J33" s="45">
        <f t="shared" si="24"/>
        <v>26</v>
      </c>
      <c r="K33" s="45">
        <f t="shared" si="24"/>
        <v>26</v>
      </c>
      <c r="L33" s="45">
        <f t="shared" si="24"/>
        <v>25</v>
      </c>
      <c r="M33" s="45">
        <f t="shared" si="24"/>
        <v>25</v>
      </c>
      <c r="N33" s="45">
        <f t="shared" si="24"/>
        <v>25</v>
      </c>
      <c r="O33" s="45">
        <f t="shared" si="24"/>
        <v>26</v>
      </c>
      <c r="P33" s="45">
        <f t="shared" si="24"/>
        <v>26</v>
      </c>
    </row>
    <row r="34" spans="3:16">
      <c r="C34" s="5" t="str">
        <f>C33</f>
        <v>Active Employees</v>
      </c>
      <c r="E34" s="45">
        <f>INDEX(E$21:E$29,MATCH($C33,$C$9:$C$17,0))</f>
        <v>36</v>
      </c>
      <c r="F34" s="45">
        <f t="shared" ref="F34:P34" si="25">INDEX(F$21:F$29,MATCH($C33,$C$9:$C$17,0))</f>
        <v>35</v>
      </c>
      <c r="G34" s="45">
        <f t="shared" si="25"/>
        <v>33</v>
      </c>
      <c r="H34" s="45">
        <f t="shared" si="25"/>
        <v>30</v>
      </c>
      <c r="I34" s="45">
        <f t="shared" si="25"/>
        <v>29</v>
      </c>
      <c r="J34" s="45">
        <f t="shared" si="25"/>
        <v>31</v>
      </c>
      <c r="K34" s="45">
        <f t="shared" si="25"/>
        <v>29</v>
      </c>
      <c r="L34" s="45">
        <f t="shared" si="25"/>
        <v>29</v>
      </c>
      <c r="M34" s="45">
        <f t="shared" si="25"/>
        <v>28</v>
      </c>
      <c r="N34" s="45">
        <f t="shared" si="25"/>
        <v>27</v>
      </c>
      <c r="O34" s="45">
        <f t="shared" si="25"/>
        <v>27</v>
      </c>
      <c r="P34" s="45">
        <f t="shared" si="25"/>
        <v>27</v>
      </c>
    </row>
    <row r="37" spans="3:16">
      <c r="C37" s="5" t="str">
        <f>'Monthly Dashboard'!B8</f>
        <v>Hires</v>
      </c>
      <c r="E37" s="22">
        <f>INDEX(E$9:E$17,MATCH($C37,$C$9:$C$17,0))</f>
        <v>0</v>
      </c>
      <c r="F37" s="22">
        <f t="shared" ref="F37:P37" si="26">INDEX(F$9:F$17,MATCH($C37,$C$9:$C$17,0))</f>
        <v>1</v>
      </c>
      <c r="G37" s="22">
        <f t="shared" si="26"/>
        <v>0</v>
      </c>
      <c r="H37" s="22">
        <f t="shared" si="26"/>
        <v>0</v>
      </c>
      <c r="I37" s="22">
        <f t="shared" si="26"/>
        <v>0</v>
      </c>
      <c r="J37" s="22">
        <f t="shared" si="26"/>
        <v>0</v>
      </c>
      <c r="K37" s="22">
        <f t="shared" si="26"/>
        <v>0</v>
      </c>
      <c r="L37" s="22">
        <f t="shared" si="26"/>
        <v>0</v>
      </c>
      <c r="M37" s="22">
        <f t="shared" si="26"/>
        <v>0</v>
      </c>
      <c r="N37" s="22">
        <f t="shared" si="26"/>
        <v>0</v>
      </c>
      <c r="O37" s="22">
        <f t="shared" si="26"/>
        <v>1</v>
      </c>
      <c r="P37" s="22">
        <f t="shared" si="26"/>
        <v>0</v>
      </c>
    </row>
    <row r="38" spans="3:16">
      <c r="C38" s="5" t="str">
        <f>C37</f>
        <v>Hires</v>
      </c>
      <c r="E38" s="22">
        <f>INDEX(E$21:E$29,MATCH($C37,$C$9:$C$17,0))</f>
        <v>0</v>
      </c>
      <c r="F38" s="22">
        <f t="shared" ref="F38:P38" si="27">INDEX(F$21:F$29,MATCH($C37,$C$9:$C$17,0))</f>
        <v>0</v>
      </c>
      <c r="G38" s="22">
        <f t="shared" si="27"/>
        <v>0</v>
      </c>
      <c r="H38" s="22">
        <f t="shared" si="27"/>
        <v>0</v>
      </c>
      <c r="I38" s="22">
        <f t="shared" si="27"/>
        <v>0</v>
      </c>
      <c r="J38" s="22">
        <f t="shared" si="27"/>
        <v>2</v>
      </c>
      <c r="K38" s="22">
        <f t="shared" si="27"/>
        <v>0</v>
      </c>
      <c r="L38" s="22">
        <f t="shared" si="27"/>
        <v>0</v>
      </c>
      <c r="M38" s="22">
        <f t="shared" si="27"/>
        <v>0</v>
      </c>
      <c r="N38" s="22">
        <f t="shared" si="27"/>
        <v>0</v>
      </c>
      <c r="O38" s="22">
        <f t="shared" si="27"/>
        <v>1</v>
      </c>
      <c r="P38" s="22">
        <f t="shared" si="27"/>
        <v>0</v>
      </c>
    </row>
    <row r="41" spans="3:16">
      <c r="C41" s="5" t="str">
        <f>'Monthly Dashboard'!B11</f>
        <v>Exits</v>
      </c>
      <c r="E41" s="22">
        <f>INDEX(E$9:E$17,MATCH($C41,$C$9:$C$17,0))</f>
        <v>1</v>
      </c>
      <c r="F41" s="22">
        <f t="shared" ref="F41:P41" si="28">INDEX(F$9:F$17,MATCH($C41,$C$9:$C$17,0))</f>
        <v>0</v>
      </c>
      <c r="G41" s="22">
        <f t="shared" si="28"/>
        <v>0</v>
      </c>
      <c r="H41" s="22">
        <f t="shared" si="28"/>
        <v>1</v>
      </c>
      <c r="I41" s="22">
        <f t="shared" si="28"/>
        <v>0</v>
      </c>
      <c r="J41" s="22">
        <f t="shared" si="28"/>
        <v>0</v>
      </c>
      <c r="K41" s="22">
        <f t="shared" si="28"/>
        <v>0</v>
      </c>
      <c r="L41" s="22">
        <f t="shared" si="28"/>
        <v>1</v>
      </c>
      <c r="M41" s="22">
        <f t="shared" si="28"/>
        <v>0</v>
      </c>
      <c r="N41" s="22">
        <f t="shared" si="28"/>
        <v>0</v>
      </c>
      <c r="O41" s="22">
        <f t="shared" si="28"/>
        <v>0</v>
      </c>
      <c r="P41" s="22">
        <f t="shared" si="28"/>
        <v>0</v>
      </c>
    </row>
    <row r="42" spans="3:16">
      <c r="C42" s="5" t="str">
        <f>C41</f>
        <v>Exits</v>
      </c>
      <c r="E42" s="22">
        <f>INDEX(E$21:E$29,MATCH($C41,$C$9:$C$17,0))</f>
        <v>1</v>
      </c>
      <c r="F42" s="22">
        <f t="shared" ref="F42" si="29">INDEX(F$21:F$29,MATCH($C41,$C$9:$C$17,0))</f>
        <v>1</v>
      </c>
      <c r="G42" s="22">
        <f t="shared" ref="G42" si="30">INDEX(G$21:G$29,MATCH($C41,$C$9:$C$17,0))</f>
        <v>2</v>
      </c>
      <c r="H42" s="22">
        <f t="shared" ref="H42" si="31">INDEX(H$21:H$29,MATCH($C41,$C$9:$C$17,0))</f>
        <v>3</v>
      </c>
      <c r="I42" s="22">
        <f t="shared" ref="I42" si="32">INDEX(I$21:I$29,MATCH($C41,$C$9:$C$17,0))</f>
        <v>1</v>
      </c>
      <c r="J42" s="22">
        <f t="shared" ref="J42" si="33">INDEX(J$21:J$29,MATCH($C41,$C$9:$C$17,0))</f>
        <v>0</v>
      </c>
      <c r="K42" s="22">
        <f t="shared" ref="K42" si="34">INDEX(K$21:K$29,MATCH($C41,$C$9:$C$17,0))</f>
        <v>2</v>
      </c>
      <c r="L42" s="22">
        <f t="shared" ref="L42" si="35">INDEX(L$21:L$29,MATCH($C41,$C$9:$C$17,0))</f>
        <v>0</v>
      </c>
      <c r="M42" s="22">
        <f t="shared" ref="M42" si="36">INDEX(M$21:M$29,MATCH($C41,$C$9:$C$17,0))</f>
        <v>1</v>
      </c>
      <c r="N42" s="22">
        <f t="shared" ref="N42" si="37">INDEX(N$21:N$29,MATCH($C41,$C$9:$C$17,0))</f>
        <v>1</v>
      </c>
      <c r="O42" s="22">
        <f t="shared" ref="O42" si="38">INDEX(O$21:O$29,MATCH($C41,$C$9:$C$17,0))</f>
        <v>1</v>
      </c>
      <c r="P42" s="22">
        <f t="shared" ref="P42" si="39">INDEX(P$21:P$29,MATCH($C41,$C$9:$C$17,0))</f>
        <v>0</v>
      </c>
    </row>
    <row r="45" spans="3:16">
      <c r="C45" s="5" t="str">
        <f>'Monthly Dashboard'!B14</f>
        <v>Retention Rate</v>
      </c>
      <c r="E45" s="19">
        <f>INDEX(E$9:E$17,MATCH($C45,$C$9:$C$17,0))</f>
        <v>0.96153846153846156</v>
      </c>
      <c r="F45" s="19">
        <f t="shared" ref="F45:P45" si="40">INDEX(F$9:F$17,MATCH($C45,$C$9:$C$17,0))</f>
        <v>1</v>
      </c>
      <c r="G45" s="19">
        <f t="shared" si="40"/>
        <v>1</v>
      </c>
      <c r="H45" s="19">
        <f t="shared" si="40"/>
        <v>0.96153846153846156</v>
      </c>
      <c r="I45" s="19">
        <f t="shared" si="40"/>
        <v>1</v>
      </c>
      <c r="J45" s="19">
        <f t="shared" si="40"/>
        <v>1</v>
      </c>
      <c r="K45" s="19">
        <f t="shared" si="40"/>
        <v>1</v>
      </c>
      <c r="L45" s="19">
        <f t="shared" si="40"/>
        <v>0.96</v>
      </c>
      <c r="M45" s="19">
        <f t="shared" si="40"/>
        <v>1</v>
      </c>
      <c r="N45" s="19">
        <f t="shared" si="40"/>
        <v>1</v>
      </c>
      <c r="O45" s="19">
        <f t="shared" si="40"/>
        <v>1</v>
      </c>
      <c r="P45" s="19">
        <f t="shared" si="40"/>
        <v>1</v>
      </c>
    </row>
    <row r="46" spans="3:16">
      <c r="C46" s="5" t="str">
        <f>C45</f>
        <v>Retention Rate</v>
      </c>
      <c r="E46" s="19">
        <f>INDEX(E$21:E$29,MATCH($C45,$C$9:$C$17,0))</f>
        <v>0.97222222222222221</v>
      </c>
      <c r="F46" s="19">
        <f t="shared" ref="F46" si="41">INDEX(F$21:F$29,MATCH($C45,$C$9:$C$17,0))</f>
        <v>0.97142857142857142</v>
      </c>
      <c r="G46" s="19">
        <f t="shared" ref="G46" si="42">INDEX(G$21:G$29,MATCH($C45,$C$9:$C$17,0))</f>
        <v>0.93939393939393945</v>
      </c>
      <c r="H46" s="19">
        <f t="shared" ref="H46" si="43">INDEX(H$21:H$29,MATCH($C45,$C$9:$C$17,0))</f>
        <v>0.9</v>
      </c>
      <c r="I46" s="19">
        <f t="shared" ref="I46" si="44">INDEX(I$21:I$29,MATCH($C45,$C$9:$C$17,0))</f>
        <v>0.96551724137931039</v>
      </c>
      <c r="J46" s="19">
        <f t="shared" ref="J46" si="45">INDEX(J$21:J$29,MATCH($C45,$C$9:$C$17,0))</f>
        <v>1</v>
      </c>
      <c r="K46" s="19">
        <f t="shared" ref="K46" si="46">INDEX(K$21:K$29,MATCH($C45,$C$9:$C$17,0))</f>
        <v>0.93103448275862066</v>
      </c>
      <c r="L46" s="19">
        <f t="shared" ref="L46" si="47">INDEX(L$21:L$29,MATCH($C45,$C$9:$C$17,0))</f>
        <v>1</v>
      </c>
      <c r="M46" s="19">
        <f t="shared" ref="M46" si="48">INDEX(M$21:M$29,MATCH($C45,$C$9:$C$17,0))</f>
        <v>0.9642857142857143</v>
      </c>
      <c r="N46" s="19">
        <f t="shared" ref="N46" si="49">INDEX(N$21:N$29,MATCH($C45,$C$9:$C$17,0))</f>
        <v>0.96296296296296302</v>
      </c>
      <c r="O46" s="19">
        <f t="shared" ref="O46" si="50">INDEX(O$21:O$29,MATCH($C45,$C$9:$C$17,0))</f>
        <v>0.96296296296296302</v>
      </c>
      <c r="P46" s="19">
        <f t="shared" ref="P46" si="51">INDEX(P$21:P$29,MATCH($C45,$C$9:$C$17,0))</f>
        <v>1</v>
      </c>
    </row>
    <row r="49" spans="3:16">
      <c r="C49" s="5" t="str">
        <f>'Monthly Dashboard'!B17</f>
        <v>Turnover Rate</v>
      </c>
      <c r="E49" s="19">
        <f>INDEX(E$9:E$17,MATCH($C49,$C$9:$C$17,0))</f>
        <v>3.8461538461538464E-2</v>
      </c>
      <c r="F49" s="19">
        <f t="shared" ref="F49:P49" si="52">INDEX(F$9:F$17,MATCH($C49,$C$9:$C$17,0))</f>
        <v>0</v>
      </c>
      <c r="G49" s="19">
        <f t="shared" si="52"/>
        <v>0</v>
      </c>
      <c r="H49" s="19">
        <f t="shared" si="52"/>
        <v>3.8461538461538464E-2</v>
      </c>
      <c r="I49" s="19">
        <f t="shared" si="52"/>
        <v>0</v>
      </c>
      <c r="J49" s="19">
        <f t="shared" si="52"/>
        <v>0</v>
      </c>
      <c r="K49" s="19">
        <f t="shared" si="52"/>
        <v>0</v>
      </c>
      <c r="L49" s="19">
        <f t="shared" si="52"/>
        <v>0.04</v>
      </c>
      <c r="M49" s="19">
        <f t="shared" si="52"/>
        <v>0</v>
      </c>
      <c r="N49" s="19">
        <f t="shared" si="52"/>
        <v>0</v>
      </c>
      <c r="O49" s="19">
        <f t="shared" si="52"/>
        <v>0</v>
      </c>
      <c r="P49" s="19">
        <f t="shared" si="52"/>
        <v>0</v>
      </c>
    </row>
    <row r="50" spans="3:16">
      <c r="C50" s="5" t="str">
        <f>C49</f>
        <v>Turnover Rate</v>
      </c>
      <c r="E50" s="19">
        <f>INDEX(E$21:E$29,MATCH($C49,$C$9:$C$17,0))</f>
        <v>2.7777777777777776E-2</v>
      </c>
      <c r="F50" s="19">
        <f t="shared" ref="F50" si="53">INDEX(F$21:F$29,MATCH($C49,$C$9:$C$17,0))</f>
        <v>2.8571428571428571E-2</v>
      </c>
      <c r="G50" s="19">
        <f t="shared" ref="G50" si="54">INDEX(G$21:G$29,MATCH($C49,$C$9:$C$17,0))</f>
        <v>6.0606060606060608E-2</v>
      </c>
      <c r="H50" s="19">
        <f t="shared" ref="H50" si="55">INDEX(H$21:H$29,MATCH($C49,$C$9:$C$17,0))</f>
        <v>0.1</v>
      </c>
      <c r="I50" s="19">
        <f t="shared" ref="I50" si="56">INDEX(I$21:I$29,MATCH($C49,$C$9:$C$17,0))</f>
        <v>3.4482758620689655E-2</v>
      </c>
      <c r="J50" s="19">
        <f t="shared" ref="J50" si="57">INDEX(J$21:J$29,MATCH($C49,$C$9:$C$17,0))</f>
        <v>0</v>
      </c>
      <c r="K50" s="19">
        <f t="shared" ref="K50" si="58">INDEX(K$21:K$29,MATCH($C49,$C$9:$C$17,0))</f>
        <v>6.8965517241379309E-2</v>
      </c>
      <c r="L50" s="19">
        <f t="shared" ref="L50" si="59">INDEX(L$21:L$29,MATCH($C49,$C$9:$C$17,0))</f>
        <v>0</v>
      </c>
      <c r="M50" s="19">
        <f t="shared" ref="M50" si="60">INDEX(M$21:M$29,MATCH($C49,$C$9:$C$17,0))</f>
        <v>3.5714285714285712E-2</v>
      </c>
      <c r="N50" s="19">
        <f t="shared" ref="N50" si="61">INDEX(N$21:N$29,MATCH($C49,$C$9:$C$17,0))</f>
        <v>3.7037037037037035E-2</v>
      </c>
      <c r="O50" s="19">
        <f t="shared" ref="O50" si="62">INDEX(O$21:O$29,MATCH($C49,$C$9:$C$17,0))</f>
        <v>3.7037037037037035E-2</v>
      </c>
      <c r="P50" s="19">
        <f t="shared" ref="P50" si="63">INDEX(P$21:P$29,MATCH($C49,$C$9:$C$17,0))</f>
        <v>0</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A2690-04E5-4C6F-B3C8-69B4A05A063B}">
  <sheetPr codeName="Sheet7"/>
  <dimension ref="B3:F42"/>
  <sheetViews>
    <sheetView topLeftCell="A3" workbookViewId="0">
      <selection activeCell="F18" sqref="F18:F42"/>
    </sheetView>
  </sheetViews>
  <sheetFormatPr baseColWidth="10" defaultColWidth="8.83203125" defaultRowHeight="15"/>
  <cols>
    <col min="2" max="2" width="23.5" customWidth="1"/>
    <col min="3" max="3" width="52.6640625" customWidth="1"/>
    <col min="4" max="4" width="26.1640625" customWidth="1"/>
  </cols>
  <sheetData>
    <row r="3" spans="2:3">
      <c r="B3" t="s">
        <v>12</v>
      </c>
    </row>
    <row r="5" spans="2:3">
      <c r="B5" s="2" t="s">
        <v>13</v>
      </c>
      <c r="C5" t="s">
        <v>20</v>
      </c>
    </row>
    <row r="6" spans="2:3">
      <c r="B6" s="2" t="s">
        <v>14</v>
      </c>
      <c r="C6" t="s">
        <v>21</v>
      </c>
    </row>
    <row r="7" spans="2:3">
      <c r="B7" s="2" t="s">
        <v>15</v>
      </c>
      <c r="C7" t="s">
        <v>16</v>
      </c>
    </row>
    <row r="8" spans="2:3">
      <c r="B8" s="2"/>
    </row>
    <row r="9" spans="2:3" ht="64">
      <c r="B9" s="2" t="s">
        <v>17</v>
      </c>
      <c r="C9" s="1" t="s">
        <v>18</v>
      </c>
    </row>
    <row r="10" spans="2:3">
      <c r="B10" s="2" t="s">
        <v>19</v>
      </c>
      <c r="C10" t="s">
        <v>22</v>
      </c>
    </row>
    <row r="11" spans="2:3">
      <c r="B11" s="2"/>
    </row>
    <row r="12" spans="2:3">
      <c r="B12" s="2"/>
    </row>
    <row r="13" spans="2:3">
      <c r="B13" s="2"/>
    </row>
    <row r="14" spans="2:3">
      <c r="B14" s="2"/>
    </row>
    <row r="15" spans="2:3">
      <c r="B15" s="2"/>
    </row>
    <row r="16" spans="2:3">
      <c r="B16" s="2"/>
    </row>
    <row r="17" spans="2:6">
      <c r="B17" s="2" t="s">
        <v>219</v>
      </c>
    </row>
    <row r="18" spans="2:6">
      <c r="B18" s="49" t="s">
        <v>226</v>
      </c>
      <c r="D18" t="s">
        <v>237</v>
      </c>
      <c r="F18" t="s">
        <v>245</v>
      </c>
    </row>
    <row r="19" spans="2:6">
      <c r="B19" s="50" t="s">
        <v>227</v>
      </c>
      <c r="D19" t="s">
        <v>238</v>
      </c>
      <c r="F19" t="s">
        <v>246</v>
      </c>
    </row>
    <row r="20" spans="2:6">
      <c r="B20" s="49" t="s">
        <v>228</v>
      </c>
      <c r="D20" t="s">
        <v>239</v>
      </c>
      <c r="F20" t="s">
        <v>247</v>
      </c>
    </row>
    <row r="21" spans="2:6">
      <c r="B21" s="50" t="s">
        <v>229</v>
      </c>
      <c r="D21" t="s">
        <v>240</v>
      </c>
      <c r="F21" t="s">
        <v>248</v>
      </c>
    </row>
    <row r="22" spans="2:6">
      <c r="B22" s="49" t="s">
        <v>230</v>
      </c>
      <c r="D22" t="s">
        <v>241</v>
      </c>
      <c r="F22" t="s">
        <v>249</v>
      </c>
    </row>
    <row r="23" spans="2:6">
      <c r="B23" s="50" t="s">
        <v>231</v>
      </c>
      <c r="D23" t="s">
        <v>242</v>
      </c>
      <c r="F23" t="s">
        <v>250</v>
      </c>
    </row>
    <row r="24" spans="2:6">
      <c r="B24" s="49" t="s">
        <v>232</v>
      </c>
      <c r="D24" t="s">
        <v>243</v>
      </c>
      <c r="F24" t="s">
        <v>251</v>
      </c>
    </row>
    <row r="25" spans="2:6">
      <c r="B25" s="50" t="s">
        <v>164</v>
      </c>
      <c r="D25" t="s">
        <v>244</v>
      </c>
      <c r="F25" t="s">
        <v>252</v>
      </c>
    </row>
    <row r="26" spans="2:6">
      <c r="B26" s="49" t="s">
        <v>233</v>
      </c>
      <c r="F26" t="s">
        <v>228</v>
      </c>
    </row>
    <row r="27" spans="2:6">
      <c r="B27" s="50" t="s">
        <v>234</v>
      </c>
      <c r="F27" t="s">
        <v>253</v>
      </c>
    </row>
    <row r="28" spans="2:6">
      <c r="B28" s="49" t="s">
        <v>235</v>
      </c>
      <c r="F28" t="s">
        <v>170</v>
      </c>
    </row>
    <row r="29" spans="2:6">
      <c r="B29" s="50" t="s">
        <v>236</v>
      </c>
      <c r="F29" t="s">
        <v>254</v>
      </c>
    </row>
    <row r="30" spans="2:6">
      <c r="B30" s="49" t="s">
        <v>165</v>
      </c>
      <c r="F30" t="s">
        <v>255</v>
      </c>
    </row>
    <row r="31" spans="2:6">
      <c r="F31" t="s">
        <v>229</v>
      </c>
    </row>
    <row r="32" spans="2:6">
      <c r="F32" t="s">
        <v>256</v>
      </c>
    </row>
    <row r="33" spans="6:6">
      <c r="F33" t="s">
        <v>257</v>
      </c>
    </row>
    <row r="34" spans="6:6">
      <c r="F34" t="s">
        <v>258</v>
      </c>
    </row>
    <row r="35" spans="6:6">
      <c r="F35" t="s">
        <v>259</v>
      </c>
    </row>
    <row r="36" spans="6:6">
      <c r="F36" t="s">
        <v>260</v>
      </c>
    </row>
    <row r="37" spans="6:6">
      <c r="F37" t="s">
        <v>261</v>
      </c>
    </row>
    <row r="38" spans="6:6">
      <c r="F38" t="s">
        <v>233</v>
      </c>
    </row>
    <row r="39" spans="6:6">
      <c r="F39" t="s">
        <v>262</v>
      </c>
    </row>
    <row r="40" spans="6:6">
      <c r="F40" t="s">
        <v>165</v>
      </c>
    </row>
    <row r="41" spans="6:6">
      <c r="F41" t="s">
        <v>171</v>
      </c>
    </row>
    <row r="42" spans="6:6">
      <c r="F42" t="s">
        <v>169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Database</vt:lpstr>
      <vt:lpstr>Sheet5</vt:lpstr>
      <vt:lpstr>People Database</vt:lpstr>
      <vt:lpstr>Monthly Dashboard</vt:lpstr>
      <vt:lpstr>Department Comparison</vt:lpstr>
      <vt:lpstr>Background Data</vt:lpstr>
      <vt:lpstr>Details</vt:lpstr>
      <vt:lpstr>Austin</vt:lpstr>
      <vt:lpstr>dept</vt:lpstr>
      <vt:lpstr>exitreason</vt:lpstr>
      <vt:lpstr>roles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Cesar Carvajal Baez</dc:creator>
  <cp:lastModifiedBy>Microsoft Office User</cp:lastModifiedBy>
  <cp:lastPrinted>2020-02-19T12:50:16Z</cp:lastPrinted>
  <dcterms:created xsi:type="dcterms:W3CDTF">2020-02-08T14:41:28Z</dcterms:created>
  <dcterms:modified xsi:type="dcterms:W3CDTF">2020-11-11T15:23:36Z</dcterms:modified>
</cp:coreProperties>
</file>